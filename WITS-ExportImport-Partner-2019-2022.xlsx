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/>
  <mc:AlternateContent xmlns:mc="http://schemas.openxmlformats.org/markup-compatibility/2006">
    <mc:Choice Requires="x15">
      <x15ac:absPath xmlns:x15ac="http://schemas.microsoft.com/office/spreadsheetml/2010/11/ac" url="D:\Study in UK 2025\MSc Data Science and Communication_Liverpool\Semester One\ENVS 615 Data Wrangling\First Assessment\Datasets\WITS\"/>
    </mc:Choice>
  </mc:AlternateContent>
  <xr:revisionPtr revIDLastSave="0" documentId="13_ncr:1_{D6CD1104-0BA5-4C6D-95C0-542D283587E5}" xr6:coauthVersionLast="47" xr6:coauthVersionMax="47" xr10:uidLastSave="{00000000-0000-0000-0000-000000000000}"/>
  <bookViews>
    <workbookView xWindow="20" yWindow="20" windowWidth="19180" windowHeight="11260" xr2:uid="{00000000-000D-0000-FFFF-FFFF00000000}"/>
  </bookViews>
  <sheets>
    <sheet name="Partners" sheetId="2" r:id="rId1"/>
  </sheets>
  <definedNames>
    <definedName name="_xlnm._FilterDatabase" localSheetId="0" hidden="1">Partners!$A$1:$K$299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3" i="2" l="1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I160" i="2"/>
  <c r="I161" i="2"/>
  <c r="I162" i="2"/>
  <c r="I163" i="2"/>
  <c r="I164" i="2"/>
  <c r="I165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5" i="2"/>
  <c r="I186" i="2"/>
  <c r="I187" i="2"/>
  <c r="I188" i="2"/>
  <c r="I189" i="2"/>
  <c r="I190" i="2"/>
  <c r="I191" i="2"/>
  <c r="I192" i="2"/>
  <c r="I193" i="2"/>
  <c r="I194" i="2"/>
  <c r="I195" i="2"/>
  <c r="I196" i="2"/>
  <c r="I197" i="2"/>
  <c r="I198" i="2"/>
  <c r="I199" i="2"/>
  <c r="I200" i="2"/>
  <c r="I201" i="2"/>
  <c r="I202" i="2"/>
  <c r="I203" i="2"/>
  <c r="I204" i="2"/>
  <c r="I205" i="2"/>
  <c r="I206" i="2"/>
  <c r="I207" i="2"/>
  <c r="I208" i="2"/>
  <c r="I209" i="2"/>
  <c r="I210" i="2"/>
  <c r="I211" i="2"/>
  <c r="I212" i="2"/>
  <c r="I213" i="2"/>
  <c r="I214" i="2"/>
  <c r="I215" i="2"/>
  <c r="I216" i="2"/>
  <c r="I217" i="2"/>
  <c r="I218" i="2"/>
  <c r="I219" i="2"/>
  <c r="I220" i="2"/>
  <c r="I221" i="2"/>
  <c r="I222" i="2"/>
  <c r="I223" i="2"/>
  <c r="I224" i="2"/>
  <c r="I225" i="2"/>
  <c r="I226" i="2"/>
  <c r="I227" i="2"/>
  <c r="I228" i="2"/>
  <c r="I229" i="2"/>
  <c r="I230" i="2"/>
  <c r="I231" i="2"/>
  <c r="I232" i="2"/>
  <c r="I233" i="2"/>
  <c r="I234" i="2"/>
  <c r="I235" i="2"/>
  <c r="I236" i="2"/>
  <c r="I237" i="2"/>
  <c r="I238" i="2"/>
  <c r="I239" i="2"/>
  <c r="I240" i="2"/>
  <c r="I241" i="2"/>
  <c r="I242" i="2"/>
  <c r="I243" i="2"/>
  <c r="I244" i="2"/>
  <c r="I245" i="2"/>
  <c r="I246" i="2"/>
  <c r="I247" i="2"/>
  <c r="I248" i="2"/>
  <c r="I249" i="2"/>
  <c r="I250" i="2"/>
  <c r="I251" i="2"/>
  <c r="I252" i="2"/>
  <c r="I253" i="2"/>
  <c r="I254" i="2"/>
  <c r="I255" i="2"/>
  <c r="I256" i="2"/>
  <c r="I257" i="2"/>
  <c r="I258" i="2"/>
  <c r="I259" i="2"/>
  <c r="I260" i="2"/>
  <c r="I261" i="2"/>
  <c r="I262" i="2"/>
  <c r="I263" i="2"/>
  <c r="I264" i="2"/>
  <c r="I265" i="2"/>
  <c r="I266" i="2"/>
  <c r="I267" i="2"/>
  <c r="I268" i="2"/>
  <c r="I269" i="2"/>
  <c r="I270" i="2"/>
  <c r="I271" i="2"/>
  <c r="I272" i="2"/>
  <c r="I273" i="2"/>
  <c r="I274" i="2"/>
  <c r="I275" i="2"/>
  <c r="I276" i="2"/>
  <c r="I277" i="2"/>
  <c r="I278" i="2"/>
  <c r="I279" i="2"/>
  <c r="I280" i="2"/>
  <c r="I281" i="2"/>
  <c r="I282" i="2"/>
  <c r="I283" i="2"/>
  <c r="I284" i="2"/>
  <c r="I285" i="2"/>
  <c r="I286" i="2"/>
  <c r="I287" i="2"/>
  <c r="I288" i="2"/>
  <c r="I289" i="2"/>
  <c r="I290" i="2"/>
  <c r="I291" i="2"/>
  <c r="I292" i="2"/>
  <c r="I293" i="2"/>
  <c r="I294" i="2"/>
  <c r="I295" i="2"/>
  <c r="I296" i="2"/>
  <c r="I297" i="2"/>
  <c r="I298" i="2"/>
  <c r="I299" i="2"/>
  <c r="I2" i="2"/>
</calcChain>
</file>

<file path=xl/sharedStrings.xml><?xml version="1.0" encoding="utf-8"?>
<sst xmlns="http://schemas.openxmlformats.org/spreadsheetml/2006/main" count="607" uniqueCount="182">
  <si>
    <t>Partner Name</t>
  </si>
  <si>
    <t>Year</t>
  </si>
  <si>
    <t>Trade Flow</t>
  </si>
  <si>
    <t>No Of exported HS6 digit Products</t>
  </si>
  <si>
    <t>No Of imported HS6 digit Products</t>
  </si>
  <si>
    <t>Export Share in Total Products (%)</t>
  </si>
  <si>
    <t>Import Share in Total Products (%)</t>
  </si>
  <si>
    <t>Afghanistan</t>
  </si>
  <si>
    <t>Exports &amp; Imports</t>
  </si>
  <si>
    <t>Albania</t>
  </si>
  <si>
    <t>United Arab Emirates</t>
  </si>
  <si>
    <t>Argentina</t>
  </si>
  <si>
    <t>Armenia</t>
  </si>
  <si>
    <t>Antigua and Barbuda</t>
  </si>
  <si>
    <t>Australia</t>
  </si>
  <si>
    <t>Austria</t>
  </si>
  <si>
    <t>Azerbaijan</t>
  </si>
  <si>
    <t>Belgium</t>
  </si>
  <si>
    <t>Burkina Faso</t>
  </si>
  <si>
    <t>Bangladesh</t>
  </si>
  <si>
    <t>Bulgaria</t>
  </si>
  <si>
    <t>Bahrain</t>
  </si>
  <si>
    <t>Bahamas, The</t>
  </si>
  <si>
    <t>Bosnia and Herzegovina</t>
  </si>
  <si>
    <t>Belarus</t>
  </si>
  <si>
    <t>Belize</t>
  </si>
  <si>
    <t>Bolivia</t>
  </si>
  <si>
    <t>Brazil</t>
  </si>
  <si>
    <t>Barbados</t>
  </si>
  <si>
    <t>Brunei</t>
  </si>
  <si>
    <t>Central African Republic</t>
  </si>
  <si>
    <t>Canada</t>
  </si>
  <si>
    <t>Switzerland</t>
  </si>
  <si>
    <t>Chile</t>
  </si>
  <si>
    <t>China</t>
  </si>
  <si>
    <t>Cameroon</t>
  </si>
  <si>
    <t>Congo, Rep.</t>
  </si>
  <si>
    <t>Colombia</t>
  </si>
  <si>
    <t>Cape Verde</t>
  </si>
  <si>
    <t>Costa Rica</t>
  </si>
  <si>
    <t>Cuba</t>
  </si>
  <si>
    <t>Cayman Islands</t>
  </si>
  <si>
    <t>Cyprus</t>
  </si>
  <si>
    <t>Czech Republic</t>
  </si>
  <si>
    <t>Germany</t>
  </si>
  <si>
    <t>Dominica</t>
  </si>
  <si>
    <t>Denmark</t>
  </si>
  <si>
    <t>Dominican Republic</t>
  </si>
  <si>
    <t>Ecuador</t>
  </si>
  <si>
    <t>Egypt, Arab Rep.</t>
  </si>
  <si>
    <t>Eritrea</t>
  </si>
  <si>
    <t>Spain</t>
  </si>
  <si>
    <t>Estonia</t>
  </si>
  <si>
    <t>Ethiopia(excludes Eritrea)</t>
  </si>
  <si>
    <t>Finland</t>
  </si>
  <si>
    <t>France</t>
  </si>
  <si>
    <t>Faeroe Islands</t>
  </si>
  <si>
    <t>Gabon</t>
  </si>
  <si>
    <t>United Kingdom</t>
  </si>
  <si>
    <t>Ghana</t>
  </si>
  <si>
    <t>Guinea</t>
  </si>
  <si>
    <t>Greece</t>
  </si>
  <si>
    <t>Guatemala</t>
  </si>
  <si>
    <t>Guyana</t>
  </si>
  <si>
    <t>Hong Kong, China</t>
  </si>
  <si>
    <t>Honduras</t>
  </si>
  <si>
    <t>Croatia</t>
  </si>
  <si>
    <t>Haiti</t>
  </si>
  <si>
    <t>Hungary</t>
  </si>
  <si>
    <t>Indonesia</t>
  </si>
  <si>
    <t>India</t>
  </si>
  <si>
    <t>Ireland</t>
  </si>
  <si>
    <t>Iran, Islamic Rep.</t>
  </si>
  <si>
    <t>Iceland</t>
  </si>
  <si>
    <t>Israel</t>
  </si>
  <si>
    <t>Italy</t>
  </si>
  <si>
    <t>Jamaica</t>
  </si>
  <si>
    <t>Jordan</t>
  </si>
  <si>
    <t>Japan</t>
  </si>
  <si>
    <t>Kenya</t>
  </si>
  <si>
    <t>Kyrgyz Republic</t>
  </si>
  <si>
    <t>Cambodia</t>
  </si>
  <si>
    <t>Korea, Rep.</t>
  </si>
  <si>
    <t>Kuwait</t>
  </si>
  <si>
    <t>Lao PDR</t>
  </si>
  <si>
    <t>Lebanon</t>
  </si>
  <si>
    <t>Liberia</t>
  </si>
  <si>
    <t>Sri Lanka</t>
  </si>
  <si>
    <t>Lithuania</t>
  </si>
  <si>
    <t>Luxembourg</t>
  </si>
  <si>
    <t>Latvia</t>
  </si>
  <si>
    <t>Macao</t>
  </si>
  <si>
    <t>Morocco</t>
  </si>
  <si>
    <t>Moldova</t>
  </si>
  <si>
    <t>Madagascar</t>
  </si>
  <si>
    <t>Mexico</t>
  </si>
  <si>
    <t>North Macedonia</t>
  </si>
  <si>
    <t>Mali</t>
  </si>
  <si>
    <t>Malta</t>
  </si>
  <si>
    <t>Mongolia</t>
  </si>
  <si>
    <t>Montenegro</t>
  </si>
  <si>
    <t>Mozambique</t>
  </si>
  <si>
    <t>Montserrat</t>
  </si>
  <si>
    <t>Mauritius</t>
  </si>
  <si>
    <t>Malaysia</t>
  </si>
  <si>
    <t>Namibia</t>
  </si>
  <si>
    <t>New Caledonia</t>
  </si>
  <si>
    <t>Niger</t>
  </si>
  <si>
    <t>Nigeria</t>
  </si>
  <si>
    <t>Nicaragua</t>
  </si>
  <si>
    <t>Netherlands</t>
  </si>
  <si>
    <t>Norway</t>
  </si>
  <si>
    <t>Nepal</t>
  </si>
  <si>
    <t>New Zealand</t>
  </si>
  <si>
    <t>Oman</t>
  </si>
  <si>
    <t>Pakistan</t>
  </si>
  <si>
    <t>Peru</t>
  </si>
  <si>
    <t>Philippines</t>
  </si>
  <si>
    <t>Palau</t>
  </si>
  <si>
    <t>Poland</t>
  </si>
  <si>
    <t>Korea, Dem. Rep.</t>
  </si>
  <si>
    <t>Portugal</t>
  </si>
  <si>
    <t>Paraguay</t>
  </si>
  <si>
    <t>Qatar</t>
  </si>
  <si>
    <t>Romania</t>
  </si>
  <si>
    <t>Russian Federation</t>
  </si>
  <si>
    <t>Saudi Arabia</t>
  </si>
  <si>
    <t>Senegal</t>
  </si>
  <si>
    <t>Serbia, FR(Serbia/Montenegro)</t>
  </si>
  <si>
    <t>Singapore</t>
  </si>
  <si>
    <t>Saint Helena</t>
  </si>
  <si>
    <t>Sierra Leone</t>
  </si>
  <si>
    <t>El Salvador</t>
  </si>
  <si>
    <t>San Marino</t>
  </si>
  <si>
    <t>Saint Pierre and Miquelon</t>
  </si>
  <si>
    <t>Sudan</t>
  </si>
  <si>
    <t>Suriname</t>
  </si>
  <si>
    <t>Slovak Republic</t>
  </si>
  <si>
    <t>Slovenia</t>
  </si>
  <si>
    <t>Sweden</t>
  </si>
  <si>
    <t>Eswatini</t>
  </si>
  <si>
    <t>Seychelles</t>
  </si>
  <si>
    <t>Syrian Arab Republic</t>
  </si>
  <si>
    <t>Chad</t>
  </si>
  <si>
    <t>Togo</t>
  </si>
  <si>
    <t>Thailand</t>
  </si>
  <si>
    <t>Tajikistan</t>
  </si>
  <si>
    <t>Tokelau</t>
  </si>
  <si>
    <t>Turkmenistan</t>
  </si>
  <si>
    <t>East Timor</t>
  </si>
  <si>
    <t>Trinidad and Tobago</t>
  </si>
  <si>
    <t>Tunisia</t>
  </si>
  <si>
    <t>Turkey</t>
  </si>
  <si>
    <t>Tanzania</t>
  </si>
  <si>
    <t>Uganda</t>
  </si>
  <si>
    <t>Ukraine</t>
  </si>
  <si>
    <t>Uruguay</t>
  </si>
  <si>
    <t>United States</t>
  </si>
  <si>
    <t>Uzbekistan</t>
  </si>
  <si>
    <t>Venezuela</t>
  </si>
  <si>
    <t>Vietnam</t>
  </si>
  <si>
    <t>Yemen</t>
  </si>
  <si>
    <t>South Africa</t>
  </si>
  <si>
    <t>Congo, Dem. Rep.</t>
  </si>
  <si>
    <t>Zambia</t>
  </si>
  <si>
    <t>Zimbabwe</t>
  </si>
  <si>
    <t>Imports</t>
  </si>
  <si>
    <t>Cote d'Ivoire</t>
  </si>
  <si>
    <t>Cook Islands</t>
  </si>
  <si>
    <t>Curaçao</t>
  </si>
  <si>
    <t>Fiji</t>
  </si>
  <si>
    <t>Georgia</t>
  </si>
  <si>
    <t>Gambia, The</t>
  </si>
  <si>
    <t>Iraq</t>
  </si>
  <si>
    <t>Kazakhstan</t>
  </si>
  <si>
    <t>Panama</t>
  </si>
  <si>
    <t>Papua New Guinea</t>
  </si>
  <si>
    <t>Rwanda</t>
  </si>
  <si>
    <t>No</t>
  </si>
  <si>
    <t>Import (US$)</t>
  </si>
  <si>
    <t>Export (US$)</t>
  </si>
  <si>
    <t>Trade Balance (US$)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</si>
</sst>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(* #,##0_);_(* \(#,##0\);_(* &quot;-&quot;_);_(@_)"/>
    <numFmt numFmtId="43" formatCode="_(* #,##0.00_);_(* \(#,##0.00\);_(* &quot;-&quot;??_);_(@_)"/>
    <numFmt numFmtId="166" formatCode="_(* #,##0_);_(* \(#,##0\);_(* &quot;-&quot;??_);_(@_)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10">
    <xf numFmtId="0" fontId="0" fillId="0" borderId="0" xfId="0"/>
    <xf numFmtId="0" fontId="1" fillId="0" borderId="0" xfId="0" applyFont="1"/>
    <xf numFmtId="43" fontId="0" fillId="0" borderId="0" xfId="1" applyFont="1"/>
    <xf numFmtId="43" fontId="0" fillId="0" borderId="0" xfId="0" applyNumberFormat="1"/>
    <xf numFmtId="43" fontId="1" fillId="0" borderId="0" xfId="0" applyNumberFormat="1" applyFont="1"/>
    <xf numFmtId="0" fontId="0" fillId="0" borderId="0" xfId="1" applyNumberFormat="1" applyFont="1"/>
    <xf numFmtId="41" fontId="1" fillId="0" borderId="0" xfId="0" applyNumberFormat="1" applyFont="1"/>
    <xf numFmtId="41" fontId="0" fillId="0" borderId="0" xfId="0" applyNumberFormat="1"/>
    <xf numFmtId="41" fontId="0" fillId="0" borderId="0" xfId="1" applyNumberFormat="1" applyFont="1"/>
    <xf numFmtId="166" fontId="0" fillId="0" borderId="0" xfId="1" applyNumberFormat="1" applyFont="1"/>
  </cellXfs>
  <cellStyles count="2">
    <cellStyle name="Comma" xfId="1" builtinId="3"/>
    <cellStyle name="Normal" xfId="0" builtinId="0"/>
  </cellStyles>
  <dxfs count="10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302"/>
  <sheetViews>
    <sheetView tabSelected="1" zoomScale="110" zoomScaleNormal="110" workbookViewId="0">
      <pane xSplit="3" ySplit="1" topLeftCell="I97" activePane="bottomRight" state="frozen"/>
      <selection pane="topRight" activeCell="D1" sqref="D1"/>
      <selection pane="bottomLeft" activeCell="A2" sqref="A2"/>
      <selection pane="bottomRight" activeCell="J103" sqref="J103"/>
    </sheetView>
  </sheetViews>
  <sheetFormatPr defaultRowHeight="14.5" x14ac:dyDescent="0.35"/>
  <cols>
    <col min="1" max="1" width="7.90625" customWidth="1"/>
    <col min="2" max="2" width="27.54296875" customWidth="1"/>
    <col min="3" max="3" width="9.1796875" customWidth="1"/>
    <col min="4" max="4" width="20.6328125" customWidth="1"/>
    <col min="5" max="5" width="31" customWidth="1"/>
    <col min="6" max="6" width="28.6328125" bestFit="1" customWidth="1"/>
    <col min="7" max="7" width="34.453125" customWidth="1"/>
    <col min="8" max="8" width="30.453125" customWidth="1"/>
    <col min="9" max="9" width="31.1796875" customWidth="1"/>
    <col min="10" max="10" width="21.81640625" customWidth="1"/>
    <col min="11" max="11" width="23.26953125" style="7" customWidth="1"/>
    <col min="13" max="13" width="9.6328125" customWidth="1"/>
  </cols>
  <sheetData>
    <row r="1" spans="1:11" s="1" customFormat="1" x14ac:dyDescent="0.35">
      <c r="A1" s="1" t="s">
        <v>178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181</v>
      </c>
      <c r="J1" s="1" t="s">
        <v>180</v>
      </c>
      <c r="K1" s="6" t="s">
        <v>179</v>
      </c>
    </row>
    <row r="2" spans="1:11" x14ac:dyDescent="0.35">
      <c r="A2">
        <v>1</v>
      </c>
      <c r="B2" t="s">
        <v>7</v>
      </c>
      <c r="C2">
        <v>2019</v>
      </c>
      <c r="D2" t="s">
        <v>8</v>
      </c>
      <c r="E2" s="2">
        <v>1</v>
      </c>
      <c r="F2" s="2">
        <v>3</v>
      </c>
      <c r="G2" s="2">
        <v>0.06</v>
      </c>
      <c r="H2" s="2">
        <v>0.08</v>
      </c>
      <c r="I2" s="9">
        <f>J2-K2</f>
        <v>-1318420</v>
      </c>
      <c r="J2" s="9">
        <v>13730</v>
      </c>
      <c r="K2" s="7">
        <v>1332150</v>
      </c>
    </row>
    <row r="3" spans="1:11" x14ac:dyDescent="0.35">
      <c r="A3">
        <v>2</v>
      </c>
      <c r="B3" t="s">
        <v>9</v>
      </c>
      <c r="C3">
        <v>2019</v>
      </c>
      <c r="D3" t="s">
        <v>8</v>
      </c>
      <c r="E3" s="2">
        <v>3</v>
      </c>
      <c r="F3" s="2">
        <v>29</v>
      </c>
      <c r="G3" s="2">
        <v>0.19</v>
      </c>
      <c r="H3" s="2">
        <v>0.76</v>
      </c>
      <c r="I3" s="9">
        <f t="shared" ref="I3:I66" si="0">J3-K3</f>
        <v>110200</v>
      </c>
      <c r="J3" s="9">
        <v>226690</v>
      </c>
      <c r="K3" s="7">
        <v>116490</v>
      </c>
    </row>
    <row r="4" spans="1:11" x14ac:dyDescent="0.35">
      <c r="A4">
        <v>3</v>
      </c>
      <c r="B4" t="s">
        <v>10</v>
      </c>
      <c r="C4">
        <v>2019</v>
      </c>
      <c r="D4" t="s">
        <v>8</v>
      </c>
      <c r="E4" s="2">
        <v>209</v>
      </c>
      <c r="F4" s="2">
        <v>263</v>
      </c>
      <c r="G4" s="2">
        <v>12.92</v>
      </c>
      <c r="H4" s="2">
        <v>6.89</v>
      </c>
      <c r="I4" s="9">
        <f t="shared" si="0"/>
        <v>-97186230</v>
      </c>
      <c r="J4" s="9">
        <v>99453580</v>
      </c>
      <c r="K4" s="7">
        <v>196639810</v>
      </c>
    </row>
    <row r="5" spans="1:11" x14ac:dyDescent="0.35">
      <c r="A5">
        <v>4</v>
      </c>
      <c r="B5" t="s">
        <v>11</v>
      </c>
      <c r="C5">
        <v>2019</v>
      </c>
      <c r="D5" t="s">
        <v>8</v>
      </c>
      <c r="E5" s="2">
        <v>42</v>
      </c>
      <c r="F5" s="2">
        <v>36</v>
      </c>
      <c r="G5" s="2">
        <v>2.6</v>
      </c>
      <c r="H5" s="2">
        <v>0.94</v>
      </c>
      <c r="I5" s="9">
        <f t="shared" si="0"/>
        <v>211570</v>
      </c>
      <c r="J5" s="9">
        <v>3092050</v>
      </c>
      <c r="K5" s="7">
        <v>2880480</v>
      </c>
    </row>
    <row r="6" spans="1:11" x14ac:dyDescent="0.35">
      <c r="A6">
        <v>5</v>
      </c>
      <c r="B6" t="s">
        <v>12</v>
      </c>
      <c r="C6">
        <v>2019</v>
      </c>
      <c r="D6" t="s">
        <v>166</v>
      </c>
      <c r="E6" s="2">
        <v>0</v>
      </c>
      <c r="F6" s="2">
        <v>1</v>
      </c>
      <c r="G6" s="2">
        <v>0</v>
      </c>
      <c r="H6" s="2">
        <v>0.03</v>
      </c>
      <c r="I6" s="9">
        <f t="shared" si="0"/>
        <v>-280</v>
      </c>
      <c r="J6" s="9">
        <v>0</v>
      </c>
      <c r="K6" s="7">
        <v>280</v>
      </c>
    </row>
    <row r="7" spans="1:11" x14ac:dyDescent="0.35">
      <c r="A7">
        <v>6</v>
      </c>
      <c r="B7" t="s">
        <v>13</v>
      </c>
      <c r="C7">
        <v>2019</v>
      </c>
      <c r="D7" t="s">
        <v>166</v>
      </c>
      <c r="E7" s="2">
        <v>0</v>
      </c>
      <c r="F7" s="2">
        <v>2</v>
      </c>
      <c r="G7" s="2">
        <v>0</v>
      </c>
      <c r="H7" s="2">
        <v>0.05</v>
      </c>
      <c r="I7" s="9">
        <f t="shared" si="0"/>
        <v>-20760</v>
      </c>
      <c r="J7" s="9">
        <v>0</v>
      </c>
      <c r="K7" s="7">
        <v>20760</v>
      </c>
    </row>
    <row r="8" spans="1:11" x14ac:dyDescent="0.35">
      <c r="A8">
        <v>7</v>
      </c>
      <c r="B8" t="s">
        <v>14</v>
      </c>
      <c r="C8">
        <v>2019</v>
      </c>
      <c r="D8" t="s">
        <v>8</v>
      </c>
      <c r="E8" s="2">
        <v>237</v>
      </c>
      <c r="F8" s="2">
        <v>549</v>
      </c>
      <c r="G8" s="2">
        <v>14.65</v>
      </c>
      <c r="H8" s="2">
        <v>14.38</v>
      </c>
      <c r="I8" s="9">
        <f t="shared" si="0"/>
        <v>-87605620</v>
      </c>
      <c r="J8" s="9">
        <v>28126940</v>
      </c>
      <c r="K8" s="7">
        <v>115732560</v>
      </c>
    </row>
    <row r="9" spans="1:11" x14ac:dyDescent="0.35">
      <c r="A9">
        <v>8</v>
      </c>
      <c r="B9" t="s">
        <v>15</v>
      </c>
      <c r="C9">
        <v>2019</v>
      </c>
      <c r="D9" t="s">
        <v>8</v>
      </c>
      <c r="E9" s="2">
        <v>51</v>
      </c>
      <c r="F9" s="2">
        <v>258</v>
      </c>
      <c r="G9" s="2">
        <v>3.15</v>
      </c>
      <c r="H9" s="2">
        <v>6.76</v>
      </c>
      <c r="I9" s="9">
        <f t="shared" si="0"/>
        <v>-15309310</v>
      </c>
      <c r="J9" s="9">
        <v>1873390</v>
      </c>
      <c r="K9" s="7">
        <v>17182700</v>
      </c>
    </row>
    <row r="10" spans="1:11" x14ac:dyDescent="0.35">
      <c r="A10">
        <v>9</v>
      </c>
      <c r="B10" t="s">
        <v>16</v>
      </c>
      <c r="C10">
        <v>2019</v>
      </c>
      <c r="D10" t="s">
        <v>166</v>
      </c>
      <c r="E10" s="2">
        <v>0</v>
      </c>
      <c r="F10" s="2">
        <v>1</v>
      </c>
      <c r="G10" s="2">
        <v>0</v>
      </c>
      <c r="H10" s="2">
        <v>0.03</v>
      </c>
      <c r="I10" s="9">
        <f t="shared" si="0"/>
        <v>-16100.000000000002</v>
      </c>
      <c r="J10" s="9">
        <v>0</v>
      </c>
      <c r="K10" s="7">
        <v>16100.000000000002</v>
      </c>
    </row>
    <row r="11" spans="1:11" x14ac:dyDescent="0.35">
      <c r="A11">
        <v>10</v>
      </c>
      <c r="B11" t="s">
        <v>17</v>
      </c>
      <c r="C11">
        <v>2019</v>
      </c>
      <c r="D11" t="s">
        <v>8</v>
      </c>
      <c r="E11" s="2">
        <v>187</v>
      </c>
      <c r="F11" s="2">
        <v>342</v>
      </c>
      <c r="G11" s="2">
        <v>11.56</v>
      </c>
      <c r="H11" s="2">
        <v>8.9600000000000009</v>
      </c>
      <c r="I11" s="9">
        <f t="shared" si="0"/>
        <v>199892120</v>
      </c>
      <c r="J11" s="9">
        <v>234088490</v>
      </c>
      <c r="K11" s="7">
        <v>34196370</v>
      </c>
    </row>
    <row r="12" spans="1:11" x14ac:dyDescent="0.35">
      <c r="A12">
        <v>11</v>
      </c>
      <c r="B12" t="s">
        <v>18</v>
      </c>
      <c r="C12">
        <v>2019</v>
      </c>
      <c r="D12" t="s">
        <v>8</v>
      </c>
      <c r="E12" s="2">
        <v>1</v>
      </c>
      <c r="F12" s="2">
        <v>6</v>
      </c>
      <c r="G12" s="2">
        <v>0.06</v>
      </c>
      <c r="H12" s="2">
        <v>0.16</v>
      </c>
      <c r="I12" s="9">
        <f t="shared" si="0"/>
        <v>4004350</v>
      </c>
      <c r="J12" s="9">
        <v>4260000</v>
      </c>
      <c r="K12" s="7">
        <v>255650</v>
      </c>
    </row>
    <row r="13" spans="1:11" x14ac:dyDescent="0.35">
      <c r="A13">
        <v>12</v>
      </c>
      <c r="B13" t="s">
        <v>19</v>
      </c>
      <c r="C13">
        <v>2019</v>
      </c>
      <c r="D13" t="s">
        <v>8</v>
      </c>
      <c r="E13" s="2">
        <v>84</v>
      </c>
      <c r="F13" s="2">
        <v>232</v>
      </c>
      <c r="G13" s="2">
        <v>5.19</v>
      </c>
      <c r="H13" s="2">
        <v>6.08</v>
      </c>
      <c r="I13" s="9">
        <f t="shared" si="0"/>
        <v>34889010</v>
      </c>
      <c r="J13" s="9">
        <v>66079720</v>
      </c>
      <c r="K13" s="7">
        <v>31190710</v>
      </c>
    </row>
    <row r="14" spans="1:11" x14ac:dyDescent="0.35">
      <c r="A14">
        <v>13</v>
      </c>
      <c r="B14" t="s">
        <v>20</v>
      </c>
      <c r="C14">
        <v>2019</v>
      </c>
      <c r="D14" t="s">
        <v>8</v>
      </c>
      <c r="E14" s="2">
        <v>13</v>
      </c>
      <c r="F14" s="2">
        <v>110</v>
      </c>
      <c r="G14" s="2">
        <v>0.8</v>
      </c>
      <c r="H14" s="2">
        <v>2.88</v>
      </c>
      <c r="I14" s="9">
        <f t="shared" si="0"/>
        <v>-1076260</v>
      </c>
      <c r="J14" s="9">
        <v>4094620</v>
      </c>
      <c r="K14" s="7">
        <v>5170880</v>
      </c>
    </row>
    <row r="15" spans="1:11" x14ac:dyDescent="0.35">
      <c r="A15">
        <v>14</v>
      </c>
      <c r="B15" t="s">
        <v>21</v>
      </c>
      <c r="C15">
        <v>2019</v>
      </c>
      <c r="D15" t="s">
        <v>8</v>
      </c>
      <c r="E15" s="2">
        <v>20</v>
      </c>
      <c r="F15" s="2">
        <v>15</v>
      </c>
      <c r="G15" s="2">
        <v>1.24</v>
      </c>
      <c r="H15" s="2">
        <v>0.39</v>
      </c>
      <c r="I15" s="9">
        <f t="shared" si="0"/>
        <v>17123680</v>
      </c>
      <c r="J15" s="9">
        <v>17215610</v>
      </c>
      <c r="K15" s="7">
        <v>91930</v>
      </c>
    </row>
    <row r="16" spans="1:11" x14ac:dyDescent="0.35">
      <c r="A16">
        <v>15</v>
      </c>
      <c r="B16" t="s">
        <v>22</v>
      </c>
      <c r="C16">
        <v>2019</v>
      </c>
      <c r="D16" t="s">
        <v>166</v>
      </c>
      <c r="E16" s="2">
        <v>0</v>
      </c>
      <c r="F16" s="2">
        <v>1</v>
      </c>
      <c r="G16" s="2">
        <v>0</v>
      </c>
      <c r="H16" s="2">
        <v>0.03</v>
      </c>
      <c r="I16" s="9">
        <f t="shared" si="0"/>
        <v>-490</v>
      </c>
      <c r="J16" s="9">
        <v>0</v>
      </c>
      <c r="K16" s="7">
        <v>490</v>
      </c>
    </row>
    <row r="17" spans="1:13" x14ac:dyDescent="0.35">
      <c r="A17">
        <v>16</v>
      </c>
      <c r="B17" t="s">
        <v>23</v>
      </c>
      <c r="C17">
        <v>2019</v>
      </c>
      <c r="D17" t="s">
        <v>8</v>
      </c>
      <c r="E17" s="2">
        <v>1</v>
      </c>
      <c r="F17" s="2">
        <v>15</v>
      </c>
      <c r="G17" s="2">
        <v>0.06</v>
      </c>
      <c r="H17" s="2">
        <v>0.39</v>
      </c>
      <c r="I17" s="9">
        <f t="shared" si="0"/>
        <v>-42500</v>
      </c>
      <c r="J17" s="9">
        <v>2480</v>
      </c>
      <c r="K17" s="7">
        <v>44980</v>
      </c>
    </row>
    <row r="18" spans="1:13" x14ac:dyDescent="0.35">
      <c r="A18">
        <v>17</v>
      </c>
      <c r="B18" t="s">
        <v>24</v>
      </c>
      <c r="C18">
        <v>2019</v>
      </c>
      <c r="D18" t="s">
        <v>8</v>
      </c>
      <c r="E18" s="2">
        <v>3</v>
      </c>
      <c r="F18" s="2">
        <v>15</v>
      </c>
      <c r="G18" s="2">
        <v>0.19</v>
      </c>
      <c r="H18" s="2">
        <v>0.39</v>
      </c>
      <c r="I18" s="9">
        <f t="shared" si="0"/>
        <v>-12460650</v>
      </c>
      <c r="J18" s="9">
        <v>26030</v>
      </c>
      <c r="K18" s="7">
        <v>12486680</v>
      </c>
    </row>
    <row r="19" spans="1:13" x14ac:dyDescent="0.35">
      <c r="A19">
        <v>18</v>
      </c>
      <c r="B19" t="s">
        <v>25</v>
      </c>
      <c r="C19">
        <v>2019</v>
      </c>
      <c r="D19" t="s">
        <v>8</v>
      </c>
      <c r="E19" s="2">
        <v>1</v>
      </c>
      <c r="F19" s="2">
        <v>8</v>
      </c>
      <c r="G19" s="2">
        <v>0.06</v>
      </c>
      <c r="H19" s="2">
        <v>0.21</v>
      </c>
      <c r="I19" s="9">
        <f t="shared" si="0"/>
        <v>-53430</v>
      </c>
      <c r="J19" s="9">
        <v>6000</v>
      </c>
      <c r="K19" s="7">
        <v>59430</v>
      </c>
    </row>
    <row r="20" spans="1:13" x14ac:dyDescent="0.35">
      <c r="A20">
        <v>19</v>
      </c>
      <c r="B20" t="s">
        <v>26</v>
      </c>
      <c r="C20">
        <v>2019</v>
      </c>
      <c r="D20" t="s">
        <v>8</v>
      </c>
      <c r="E20" s="2">
        <v>1</v>
      </c>
      <c r="F20" s="2">
        <v>6</v>
      </c>
      <c r="G20" s="2">
        <v>0.06</v>
      </c>
      <c r="H20" s="2">
        <v>0.16</v>
      </c>
      <c r="I20" s="9">
        <f t="shared" si="0"/>
        <v>-8975210</v>
      </c>
      <c r="J20" s="9">
        <v>47940</v>
      </c>
      <c r="K20" s="7">
        <v>9023150</v>
      </c>
    </row>
    <row r="21" spans="1:13" x14ac:dyDescent="0.35">
      <c r="A21">
        <v>20</v>
      </c>
      <c r="B21" t="s">
        <v>27</v>
      </c>
      <c r="C21">
        <v>2019</v>
      </c>
      <c r="D21" t="s">
        <v>8</v>
      </c>
      <c r="E21" s="2">
        <v>49</v>
      </c>
      <c r="F21" s="2">
        <v>149</v>
      </c>
      <c r="G21" s="2">
        <v>3.03</v>
      </c>
      <c r="H21" s="2">
        <v>3.9</v>
      </c>
      <c r="I21" s="9">
        <f t="shared" si="0"/>
        <v>-81660160</v>
      </c>
      <c r="J21" s="9">
        <v>5258640</v>
      </c>
      <c r="K21" s="7">
        <v>86918800</v>
      </c>
    </row>
    <row r="22" spans="1:13" x14ac:dyDescent="0.35">
      <c r="A22">
        <v>21</v>
      </c>
      <c r="B22" t="s">
        <v>28</v>
      </c>
      <c r="C22">
        <v>2019</v>
      </c>
      <c r="D22" t="s">
        <v>8</v>
      </c>
      <c r="E22" s="2">
        <v>1</v>
      </c>
      <c r="F22" s="2">
        <v>1</v>
      </c>
      <c r="G22" s="2">
        <v>0.06</v>
      </c>
      <c r="H22" s="2">
        <v>0.03</v>
      </c>
      <c r="I22" s="9">
        <f t="shared" si="0"/>
        <v>6330</v>
      </c>
      <c r="J22" s="9">
        <v>6640</v>
      </c>
      <c r="K22" s="7">
        <v>310</v>
      </c>
    </row>
    <row r="23" spans="1:13" x14ac:dyDescent="0.35">
      <c r="A23">
        <v>22</v>
      </c>
      <c r="B23" t="s">
        <v>29</v>
      </c>
      <c r="C23">
        <v>2019</v>
      </c>
      <c r="D23" t="s">
        <v>8</v>
      </c>
      <c r="E23" s="2">
        <v>14</v>
      </c>
      <c r="F23" s="2">
        <v>32</v>
      </c>
      <c r="G23" s="2">
        <v>0.87</v>
      </c>
      <c r="H23" s="2">
        <v>0.84</v>
      </c>
      <c r="I23" s="9">
        <f t="shared" si="0"/>
        <v>221380</v>
      </c>
      <c r="J23" s="9">
        <v>292660</v>
      </c>
      <c r="K23" s="7">
        <v>71280</v>
      </c>
    </row>
    <row r="24" spans="1:13" x14ac:dyDescent="0.35">
      <c r="A24">
        <v>23</v>
      </c>
      <c r="B24" t="s">
        <v>30</v>
      </c>
      <c r="C24">
        <v>2019</v>
      </c>
      <c r="D24" t="s">
        <v>8</v>
      </c>
      <c r="E24" s="2">
        <v>1</v>
      </c>
      <c r="F24" s="2">
        <v>1</v>
      </c>
      <c r="G24" s="2">
        <v>0.06</v>
      </c>
      <c r="H24" s="2">
        <v>0.03</v>
      </c>
      <c r="I24" s="9">
        <f t="shared" si="0"/>
        <v>3790</v>
      </c>
      <c r="J24" s="9">
        <v>20200</v>
      </c>
      <c r="K24" s="7">
        <v>16410</v>
      </c>
    </row>
    <row r="25" spans="1:13" x14ac:dyDescent="0.35">
      <c r="A25">
        <v>24</v>
      </c>
      <c r="B25" t="s">
        <v>31</v>
      </c>
      <c r="C25">
        <v>2019</v>
      </c>
      <c r="D25" t="s">
        <v>8</v>
      </c>
      <c r="E25" s="2">
        <v>196</v>
      </c>
      <c r="F25" s="2">
        <v>261</v>
      </c>
      <c r="G25" s="2">
        <v>12.11</v>
      </c>
      <c r="H25" s="2">
        <v>6.84</v>
      </c>
      <c r="I25" s="9">
        <f t="shared" si="0"/>
        <v>45669680</v>
      </c>
      <c r="J25" s="9">
        <v>99302400</v>
      </c>
      <c r="K25" s="7">
        <v>53632720</v>
      </c>
    </row>
    <row r="26" spans="1:13" x14ac:dyDescent="0.35">
      <c r="A26">
        <v>25</v>
      </c>
      <c r="B26" t="s">
        <v>32</v>
      </c>
      <c r="C26">
        <v>2019</v>
      </c>
      <c r="D26" t="s">
        <v>8</v>
      </c>
      <c r="E26" s="2">
        <v>110</v>
      </c>
      <c r="F26" s="2">
        <v>353</v>
      </c>
      <c r="G26" s="2">
        <v>6.8</v>
      </c>
      <c r="H26" s="2">
        <v>9.25</v>
      </c>
      <c r="I26" s="9">
        <f t="shared" si="0"/>
        <v>-5293070</v>
      </c>
      <c r="J26" s="9">
        <v>8938090</v>
      </c>
      <c r="K26" s="7">
        <v>14231160</v>
      </c>
    </row>
    <row r="27" spans="1:13" x14ac:dyDescent="0.35">
      <c r="A27">
        <v>26</v>
      </c>
      <c r="B27" t="s">
        <v>33</v>
      </c>
      <c r="C27">
        <v>2019</v>
      </c>
      <c r="D27" t="s">
        <v>8</v>
      </c>
      <c r="E27" s="2">
        <v>108</v>
      </c>
      <c r="F27" s="2">
        <v>18</v>
      </c>
      <c r="G27" s="2">
        <v>6.67</v>
      </c>
      <c r="H27" s="2">
        <v>0.47</v>
      </c>
      <c r="I27" s="9">
        <f t="shared" si="0"/>
        <v>13488590</v>
      </c>
      <c r="J27" s="9">
        <v>14737470</v>
      </c>
      <c r="K27" s="7">
        <v>1248880</v>
      </c>
    </row>
    <row r="28" spans="1:13" x14ac:dyDescent="0.35">
      <c r="A28">
        <v>27</v>
      </c>
      <c r="B28" t="s">
        <v>34</v>
      </c>
      <c r="C28">
        <v>2019</v>
      </c>
      <c r="D28" t="s">
        <v>8</v>
      </c>
      <c r="E28" s="2">
        <v>616</v>
      </c>
      <c r="F28" s="2">
        <v>3109</v>
      </c>
      <c r="G28" s="2">
        <v>38.07</v>
      </c>
      <c r="H28" s="2">
        <v>81.430000000000007</v>
      </c>
      <c r="I28" s="9">
        <f t="shared" si="0"/>
        <v>-693453240</v>
      </c>
      <c r="J28" s="9">
        <v>5753615480</v>
      </c>
      <c r="K28" s="7">
        <v>6447068720</v>
      </c>
      <c r="M28" s="3"/>
    </row>
    <row r="29" spans="1:13" x14ac:dyDescent="0.35">
      <c r="A29">
        <v>28</v>
      </c>
      <c r="B29" t="s">
        <v>35</v>
      </c>
      <c r="C29">
        <v>2019</v>
      </c>
      <c r="D29" t="s">
        <v>8</v>
      </c>
      <c r="E29" s="2">
        <v>3</v>
      </c>
      <c r="F29" s="2">
        <v>16</v>
      </c>
      <c r="G29" s="2">
        <v>0.19</v>
      </c>
      <c r="H29" s="2">
        <v>0.42</v>
      </c>
      <c r="I29" s="9">
        <f t="shared" si="0"/>
        <v>43077460</v>
      </c>
      <c r="J29" s="9">
        <v>43135370</v>
      </c>
      <c r="K29" s="7">
        <v>57910</v>
      </c>
    </row>
    <row r="30" spans="1:13" x14ac:dyDescent="0.35">
      <c r="A30">
        <v>29</v>
      </c>
      <c r="B30" t="s">
        <v>36</v>
      </c>
      <c r="C30">
        <v>2019</v>
      </c>
      <c r="D30" t="s">
        <v>8</v>
      </c>
      <c r="E30" s="2">
        <v>3</v>
      </c>
      <c r="F30" s="2">
        <v>17</v>
      </c>
      <c r="G30" s="2">
        <v>0.19</v>
      </c>
      <c r="H30" s="2">
        <v>0.45</v>
      </c>
      <c r="I30" s="9">
        <f t="shared" si="0"/>
        <v>-1334260</v>
      </c>
      <c r="J30" s="9">
        <v>85530</v>
      </c>
      <c r="K30" s="7">
        <v>1419790</v>
      </c>
    </row>
    <row r="31" spans="1:13" x14ac:dyDescent="0.35">
      <c r="A31">
        <v>30</v>
      </c>
      <c r="B31" t="s">
        <v>37</v>
      </c>
      <c r="C31">
        <v>2019</v>
      </c>
      <c r="D31" t="s">
        <v>8</v>
      </c>
      <c r="E31" s="2">
        <v>94</v>
      </c>
      <c r="F31" s="2">
        <v>19</v>
      </c>
      <c r="G31" s="2">
        <v>5.81</v>
      </c>
      <c r="H31" s="2">
        <v>0.5</v>
      </c>
      <c r="I31" s="9">
        <f t="shared" si="0"/>
        <v>2971240</v>
      </c>
      <c r="J31" s="9">
        <v>3102260</v>
      </c>
      <c r="K31" s="7">
        <v>131020.00000000001</v>
      </c>
    </row>
    <row r="32" spans="1:13" x14ac:dyDescent="0.35">
      <c r="A32">
        <v>31</v>
      </c>
      <c r="B32" t="s">
        <v>38</v>
      </c>
      <c r="C32">
        <v>2019</v>
      </c>
      <c r="D32" t="s">
        <v>8</v>
      </c>
      <c r="E32" s="2">
        <v>1</v>
      </c>
      <c r="F32" s="2">
        <v>2</v>
      </c>
      <c r="G32" s="2">
        <v>0.06</v>
      </c>
      <c r="H32" s="2">
        <v>0.05</v>
      </c>
      <c r="I32" s="9">
        <f t="shared" si="0"/>
        <v>1930.0000000000002</v>
      </c>
      <c r="J32" s="9">
        <v>3940</v>
      </c>
      <c r="K32" s="7">
        <v>2009.9999999999998</v>
      </c>
    </row>
    <row r="33" spans="1:11" x14ac:dyDescent="0.35">
      <c r="A33">
        <v>32</v>
      </c>
      <c r="B33" t="s">
        <v>39</v>
      </c>
      <c r="C33">
        <v>2019</v>
      </c>
      <c r="D33" t="s">
        <v>8</v>
      </c>
      <c r="E33" s="2">
        <v>6</v>
      </c>
      <c r="F33" s="2">
        <v>11</v>
      </c>
      <c r="G33" s="2">
        <v>0.37</v>
      </c>
      <c r="H33" s="2">
        <v>0.28999999999999998</v>
      </c>
      <c r="I33" s="9">
        <f t="shared" si="0"/>
        <v>-91020</v>
      </c>
      <c r="J33" s="9">
        <v>126530</v>
      </c>
      <c r="K33" s="7">
        <v>217550</v>
      </c>
    </row>
    <row r="34" spans="1:11" x14ac:dyDescent="0.35">
      <c r="A34">
        <v>33</v>
      </c>
      <c r="B34" t="s">
        <v>40</v>
      </c>
      <c r="C34">
        <v>2019</v>
      </c>
      <c r="D34" t="s">
        <v>8</v>
      </c>
      <c r="E34" s="2">
        <v>2</v>
      </c>
      <c r="F34" s="2">
        <v>7</v>
      </c>
      <c r="G34" s="2">
        <v>0.12</v>
      </c>
      <c r="H34" s="2">
        <v>0.18</v>
      </c>
      <c r="I34" s="9">
        <f t="shared" si="0"/>
        <v>-212130</v>
      </c>
      <c r="J34" s="9">
        <v>2350</v>
      </c>
      <c r="K34" s="7">
        <v>214480</v>
      </c>
    </row>
    <row r="35" spans="1:11" x14ac:dyDescent="0.35">
      <c r="A35">
        <v>34</v>
      </c>
      <c r="B35" t="s">
        <v>41</v>
      </c>
      <c r="C35">
        <v>2019</v>
      </c>
      <c r="D35" t="s">
        <v>166</v>
      </c>
      <c r="E35" s="2">
        <v>0</v>
      </c>
      <c r="F35" s="2">
        <v>1</v>
      </c>
      <c r="G35" s="2">
        <v>0</v>
      </c>
      <c r="H35" s="2">
        <v>0.03</v>
      </c>
      <c r="I35" s="9">
        <f t="shared" si="0"/>
        <v>-5960</v>
      </c>
      <c r="J35" s="9">
        <v>0</v>
      </c>
      <c r="K35" s="7">
        <v>5960</v>
      </c>
    </row>
    <row r="36" spans="1:11" x14ac:dyDescent="0.35">
      <c r="A36">
        <v>35</v>
      </c>
      <c r="B36" t="s">
        <v>42</v>
      </c>
      <c r="C36">
        <v>2019</v>
      </c>
      <c r="D36" t="s">
        <v>8</v>
      </c>
      <c r="E36" s="2">
        <v>9</v>
      </c>
      <c r="F36" s="2">
        <v>22</v>
      </c>
      <c r="G36" s="2">
        <v>0.56000000000000005</v>
      </c>
      <c r="H36" s="2">
        <v>0.57999999999999996</v>
      </c>
      <c r="I36" s="9">
        <f t="shared" si="0"/>
        <v>-4193040</v>
      </c>
      <c r="J36" s="9">
        <v>185860</v>
      </c>
      <c r="K36" s="7">
        <v>4378900</v>
      </c>
    </row>
    <row r="37" spans="1:11" x14ac:dyDescent="0.35">
      <c r="A37">
        <v>36</v>
      </c>
      <c r="B37" t="s">
        <v>43</v>
      </c>
      <c r="C37">
        <v>2019</v>
      </c>
      <c r="D37" t="s">
        <v>8</v>
      </c>
      <c r="E37" s="2">
        <v>112</v>
      </c>
      <c r="F37" s="2">
        <v>215</v>
      </c>
      <c r="G37" s="2">
        <v>6.92</v>
      </c>
      <c r="H37" s="2">
        <v>5.63</v>
      </c>
      <c r="I37" s="9">
        <f t="shared" si="0"/>
        <v>11930770</v>
      </c>
      <c r="J37" s="9">
        <v>18508620</v>
      </c>
      <c r="K37" s="7">
        <v>6577850</v>
      </c>
    </row>
    <row r="38" spans="1:11" x14ac:dyDescent="0.35">
      <c r="A38">
        <v>37</v>
      </c>
      <c r="B38" t="s">
        <v>44</v>
      </c>
      <c r="C38">
        <v>2019</v>
      </c>
      <c r="D38" t="s">
        <v>8</v>
      </c>
      <c r="E38" s="2">
        <v>275</v>
      </c>
      <c r="F38" s="2">
        <v>1260</v>
      </c>
      <c r="G38" s="2">
        <v>17</v>
      </c>
      <c r="H38" s="2">
        <v>33</v>
      </c>
      <c r="I38" s="9">
        <f t="shared" si="0"/>
        <v>431624250</v>
      </c>
      <c r="J38" s="9">
        <v>641724140</v>
      </c>
      <c r="K38" s="7">
        <v>210099890</v>
      </c>
    </row>
    <row r="39" spans="1:11" x14ac:dyDescent="0.35">
      <c r="A39">
        <v>38</v>
      </c>
      <c r="B39" t="s">
        <v>45</v>
      </c>
      <c r="C39">
        <v>2019</v>
      </c>
      <c r="D39" t="s">
        <v>166</v>
      </c>
      <c r="E39" s="2">
        <v>0</v>
      </c>
      <c r="F39" s="2">
        <v>14</v>
      </c>
      <c r="G39" s="2">
        <v>0</v>
      </c>
      <c r="H39" s="2">
        <v>0.37</v>
      </c>
      <c r="I39" s="9">
        <f t="shared" si="0"/>
        <v>-2940</v>
      </c>
      <c r="J39" s="9">
        <v>0</v>
      </c>
      <c r="K39" s="7">
        <v>2940</v>
      </c>
    </row>
    <row r="40" spans="1:11" x14ac:dyDescent="0.35">
      <c r="A40">
        <v>39</v>
      </c>
      <c r="B40" t="s">
        <v>46</v>
      </c>
      <c r="C40">
        <v>2019</v>
      </c>
      <c r="D40" t="s">
        <v>8</v>
      </c>
      <c r="E40" s="2">
        <v>133</v>
      </c>
      <c r="F40" s="2">
        <v>211</v>
      </c>
      <c r="G40" s="2">
        <v>8.2200000000000006</v>
      </c>
      <c r="H40" s="2">
        <v>5.53</v>
      </c>
      <c r="I40" s="9">
        <f t="shared" si="0"/>
        <v>132811010</v>
      </c>
      <c r="J40" s="9">
        <v>138689160</v>
      </c>
      <c r="K40" s="7">
        <v>5878150</v>
      </c>
    </row>
    <row r="41" spans="1:11" x14ac:dyDescent="0.35">
      <c r="A41">
        <v>40</v>
      </c>
      <c r="B41" t="s">
        <v>47</v>
      </c>
      <c r="C41">
        <v>2019</v>
      </c>
      <c r="D41" t="s">
        <v>8</v>
      </c>
      <c r="E41" s="2">
        <v>2</v>
      </c>
      <c r="F41" s="2">
        <v>16</v>
      </c>
      <c r="G41" s="2">
        <v>0.12</v>
      </c>
      <c r="H41" s="2">
        <v>0.42</v>
      </c>
      <c r="I41" s="9">
        <f t="shared" si="0"/>
        <v>130200</v>
      </c>
      <c r="J41" s="9">
        <v>265260</v>
      </c>
      <c r="K41" s="7">
        <v>135060</v>
      </c>
    </row>
    <row r="42" spans="1:11" x14ac:dyDescent="0.35">
      <c r="A42">
        <v>41</v>
      </c>
      <c r="B42" t="s">
        <v>48</v>
      </c>
      <c r="C42">
        <v>2019</v>
      </c>
      <c r="D42" t="s">
        <v>8</v>
      </c>
      <c r="E42" s="2">
        <v>3</v>
      </c>
      <c r="F42" s="2">
        <v>1</v>
      </c>
      <c r="G42" s="2">
        <v>0.19</v>
      </c>
      <c r="H42" s="2">
        <v>0.03</v>
      </c>
      <c r="I42" s="9">
        <f t="shared" si="0"/>
        <v>10580</v>
      </c>
      <c r="J42" s="9">
        <v>15180</v>
      </c>
      <c r="K42" s="7">
        <v>4600</v>
      </c>
    </row>
    <row r="43" spans="1:11" x14ac:dyDescent="0.35">
      <c r="A43">
        <v>42</v>
      </c>
      <c r="B43" t="s">
        <v>49</v>
      </c>
      <c r="C43">
        <v>2019</v>
      </c>
      <c r="D43" t="s">
        <v>8</v>
      </c>
      <c r="E43" s="2">
        <v>13</v>
      </c>
      <c r="F43" s="2">
        <v>32</v>
      </c>
      <c r="G43" s="2">
        <v>0.8</v>
      </c>
      <c r="H43" s="2">
        <v>0.84</v>
      </c>
      <c r="I43" s="9">
        <f t="shared" si="0"/>
        <v>-5420090</v>
      </c>
      <c r="J43" s="9">
        <v>1177240</v>
      </c>
      <c r="K43" s="7">
        <v>6597330</v>
      </c>
    </row>
    <row r="44" spans="1:11" x14ac:dyDescent="0.35">
      <c r="A44">
        <v>43</v>
      </c>
      <c r="B44" t="s">
        <v>50</v>
      </c>
      <c r="C44">
        <v>2019</v>
      </c>
      <c r="D44" t="s">
        <v>166</v>
      </c>
      <c r="E44" s="2">
        <v>0</v>
      </c>
      <c r="F44" s="2">
        <v>3</v>
      </c>
      <c r="G44" s="2">
        <v>0</v>
      </c>
      <c r="H44" s="2">
        <v>0.08</v>
      </c>
      <c r="I44" s="9">
        <f t="shared" si="0"/>
        <v>-40</v>
      </c>
      <c r="J44" s="9">
        <v>0</v>
      </c>
      <c r="K44" s="7">
        <v>40</v>
      </c>
    </row>
    <row r="45" spans="1:11" x14ac:dyDescent="0.35">
      <c r="A45">
        <v>44</v>
      </c>
      <c r="B45" t="s">
        <v>51</v>
      </c>
      <c r="C45">
        <v>2019</v>
      </c>
      <c r="D45" t="s">
        <v>8</v>
      </c>
      <c r="E45" s="2">
        <v>202</v>
      </c>
      <c r="F45" s="2">
        <v>518</v>
      </c>
      <c r="G45" s="2">
        <v>12.48</v>
      </c>
      <c r="H45" s="2">
        <v>13.57</v>
      </c>
      <c r="I45" s="9">
        <f t="shared" si="0"/>
        <v>530782070</v>
      </c>
      <c r="J45" s="9">
        <v>550397840</v>
      </c>
      <c r="K45" s="7">
        <v>19615770</v>
      </c>
    </row>
    <row r="46" spans="1:11" x14ac:dyDescent="0.35">
      <c r="A46">
        <v>45</v>
      </c>
      <c r="B46" t="s">
        <v>52</v>
      </c>
      <c r="C46">
        <v>2019</v>
      </c>
      <c r="D46" t="s">
        <v>8</v>
      </c>
      <c r="E46" s="2">
        <v>26</v>
      </c>
      <c r="F46" s="2">
        <v>26</v>
      </c>
      <c r="G46" s="2">
        <v>1.61</v>
      </c>
      <c r="H46" s="2">
        <v>0.68</v>
      </c>
      <c r="I46" s="9">
        <f t="shared" si="0"/>
        <v>36560</v>
      </c>
      <c r="J46" s="9">
        <v>330550</v>
      </c>
      <c r="K46" s="7">
        <v>293990</v>
      </c>
    </row>
    <row r="47" spans="1:11" x14ac:dyDescent="0.35">
      <c r="A47">
        <v>46</v>
      </c>
      <c r="B47" t="s">
        <v>53</v>
      </c>
      <c r="C47">
        <v>2019</v>
      </c>
      <c r="D47" t="s">
        <v>8</v>
      </c>
      <c r="E47" s="2">
        <v>1</v>
      </c>
      <c r="F47" s="2">
        <v>1</v>
      </c>
      <c r="G47" s="2">
        <v>0.06</v>
      </c>
      <c r="H47" s="2">
        <v>0.03</v>
      </c>
      <c r="I47" s="9">
        <f t="shared" si="0"/>
        <v>958180</v>
      </c>
      <c r="J47" s="9">
        <v>1016880</v>
      </c>
      <c r="K47" s="7">
        <v>58700</v>
      </c>
    </row>
    <row r="48" spans="1:11" x14ac:dyDescent="0.35">
      <c r="A48">
        <v>47</v>
      </c>
      <c r="B48" t="s">
        <v>54</v>
      </c>
      <c r="C48">
        <v>2019</v>
      </c>
      <c r="D48" t="s">
        <v>8</v>
      </c>
      <c r="E48" s="2">
        <v>45</v>
      </c>
      <c r="F48" s="2">
        <v>167</v>
      </c>
      <c r="G48" s="2">
        <v>2.78</v>
      </c>
      <c r="H48" s="2">
        <v>4.37</v>
      </c>
      <c r="I48" s="9">
        <f t="shared" si="0"/>
        <v>976300</v>
      </c>
      <c r="J48" s="9">
        <v>6091110</v>
      </c>
      <c r="K48" s="7">
        <v>5114810</v>
      </c>
    </row>
    <row r="49" spans="1:11" x14ac:dyDescent="0.35">
      <c r="A49">
        <v>48</v>
      </c>
      <c r="B49" t="s">
        <v>55</v>
      </c>
      <c r="C49">
        <v>2019</v>
      </c>
      <c r="D49" t="s">
        <v>8</v>
      </c>
      <c r="E49" s="2">
        <v>203</v>
      </c>
      <c r="F49" s="2">
        <v>763</v>
      </c>
      <c r="G49" s="2">
        <v>12.55</v>
      </c>
      <c r="H49" s="2">
        <v>19.98</v>
      </c>
      <c r="I49" s="9">
        <f t="shared" si="0"/>
        <v>-178128820</v>
      </c>
      <c r="J49" s="9">
        <v>131949790.00000001</v>
      </c>
      <c r="K49" s="7">
        <v>310078610</v>
      </c>
    </row>
    <row r="50" spans="1:11" x14ac:dyDescent="0.35">
      <c r="A50">
        <v>49</v>
      </c>
      <c r="B50" t="s">
        <v>56</v>
      </c>
      <c r="C50">
        <v>2019</v>
      </c>
      <c r="D50" t="s">
        <v>166</v>
      </c>
      <c r="E50" s="2">
        <v>0</v>
      </c>
      <c r="F50" s="2">
        <v>2</v>
      </c>
      <c r="G50" s="2">
        <v>0</v>
      </c>
      <c r="H50" s="2">
        <v>0.05</v>
      </c>
      <c r="I50" s="9">
        <f t="shared" si="0"/>
        <v>-7800</v>
      </c>
      <c r="J50" s="9">
        <v>0</v>
      </c>
      <c r="K50" s="7">
        <v>7800</v>
      </c>
    </row>
    <row r="51" spans="1:11" x14ac:dyDescent="0.35">
      <c r="A51">
        <v>50</v>
      </c>
      <c r="B51" t="s">
        <v>57</v>
      </c>
      <c r="C51">
        <v>2019</v>
      </c>
      <c r="D51" t="s">
        <v>166</v>
      </c>
      <c r="E51" s="2">
        <v>0</v>
      </c>
      <c r="F51" s="2">
        <v>3</v>
      </c>
      <c r="G51" s="2">
        <v>0</v>
      </c>
      <c r="H51" s="2">
        <v>0.08</v>
      </c>
      <c r="I51" s="9">
        <f t="shared" si="0"/>
        <v>-87280</v>
      </c>
      <c r="J51" s="9">
        <v>0</v>
      </c>
      <c r="K51" s="7">
        <v>87280</v>
      </c>
    </row>
    <row r="52" spans="1:11" x14ac:dyDescent="0.35">
      <c r="A52">
        <v>51</v>
      </c>
      <c r="B52" t="s">
        <v>58</v>
      </c>
      <c r="C52">
        <v>2019</v>
      </c>
      <c r="D52" t="s">
        <v>8</v>
      </c>
      <c r="E52" s="2">
        <v>240</v>
      </c>
      <c r="F52" s="2">
        <v>874</v>
      </c>
      <c r="G52" s="2">
        <v>14.83</v>
      </c>
      <c r="H52" s="2">
        <v>22.89</v>
      </c>
      <c r="I52" s="9">
        <f t="shared" si="0"/>
        <v>479057810.00000006</v>
      </c>
      <c r="J52" s="9">
        <v>535863540.00000006</v>
      </c>
      <c r="K52" s="7">
        <v>56805730</v>
      </c>
    </row>
    <row r="53" spans="1:11" x14ac:dyDescent="0.35">
      <c r="A53">
        <v>52</v>
      </c>
      <c r="B53" t="s">
        <v>59</v>
      </c>
      <c r="C53">
        <v>2019</v>
      </c>
      <c r="D53" t="s">
        <v>8</v>
      </c>
      <c r="E53" s="2">
        <v>4</v>
      </c>
      <c r="F53" s="2">
        <v>6</v>
      </c>
      <c r="G53" s="2">
        <v>0.25</v>
      </c>
      <c r="H53" s="2">
        <v>0.16</v>
      </c>
      <c r="I53" s="9">
        <f t="shared" si="0"/>
        <v>833630</v>
      </c>
      <c r="J53" s="9">
        <v>833720</v>
      </c>
      <c r="K53" s="7">
        <v>90</v>
      </c>
    </row>
    <row r="54" spans="1:11" x14ac:dyDescent="0.35">
      <c r="A54">
        <v>53</v>
      </c>
      <c r="B54" t="s">
        <v>60</v>
      </c>
      <c r="C54">
        <v>2019</v>
      </c>
      <c r="D54" t="s">
        <v>8</v>
      </c>
      <c r="E54" s="2">
        <v>12</v>
      </c>
      <c r="F54" s="2">
        <v>2</v>
      </c>
      <c r="G54" s="2">
        <v>0.74</v>
      </c>
      <c r="H54" s="2">
        <v>0.05</v>
      </c>
      <c r="I54" s="9">
        <f t="shared" si="0"/>
        <v>22214790</v>
      </c>
      <c r="J54" s="9">
        <v>22223680</v>
      </c>
      <c r="K54" s="7">
        <v>8890</v>
      </c>
    </row>
    <row r="55" spans="1:11" x14ac:dyDescent="0.35">
      <c r="A55">
        <v>54</v>
      </c>
      <c r="B55" t="s">
        <v>61</v>
      </c>
      <c r="C55">
        <v>2019</v>
      </c>
      <c r="D55" t="s">
        <v>8</v>
      </c>
      <c r="E55" s="2">
        <v>54</v>
      </c>
      <c r="F55" s="2">
        <v>41</v>
      </c>
      <c r="G55" s="2">
        <v>3.34</v>
      </c>
      <c r="H55" s="2">
        <v>1.07</v>
      </c>
      <c r="I55" s="9">
        <f t="shared" si="0"/>
        <v>8405520</v>
      </c>
      <c r="J55" s="9">
        <v>8710340</v>
      </c>
      <c r="K55" s="7">
        <v>304820</v>
      </c>
    </row>
    <row r="56" spans="1:11" x14ac:dyDescent="0.35">
      <c r="A56">
        <v>55</v>
      </c>
      <c r="B56" t="s">
        <v>62</v>
      </c>
      <c r="C56">
        <v>2019</v>
      </c>
      <c r="D56" t="s">
        <v>8</v>
      </c>
      <c r="E56" s="2">
        <v>2</v>
      </c>
      <c r="F56" s="2">
        <v>3</v>
      </c>
      <c r="G56" s="2">
        <v>0.12</v>
      </c>
      <c r="H56" s="2">
        <v>0.08</v>
      </c>
      <c r="I56" s="9">
        <f t="shared" si="0"/>
        <v>-639590</v>
      </c>
      <c r="J56" s="9">
        <v>150400</v>
      </c>
      <c r="K56" s="7">
        <v>789990</v>
      </c>
    </row>
    <row r="57" spans="1:11" x14ac:dyDescent="0.35">
      <c r="A57">
        <v>56</v>
      </c>
      <c r="B57" t="s">
        <v>63</v>
      </c>
      <c r="C57">
        <v>2019</v>
      </c>
      <c r="D57" t="s">
        <v>166</v>
      </c>
      <c r="E57" s="2">
        <v>0</v>
      </c>
      <c r="F57" s="2">
        <v>1</v>
      </c>
      <c r="G57" s="2">
        <v>0</v>
      </c>
      <c r="H57" s="2">
        <v>0.03</v>
      </c>
      <c r="I57" s="9">
        <f t="shared" si="0"/>
        <v>-50</v>
      </c>
      <c r="J57" s="9">
        <v>0</v>
      </c>
      <c r="K57" s="7">
        <v>50</v>
      </c>
    </row>
    <row r="58" spans="1:11" x14ac:dyDescent="0.35">
      <c r="A58">
        <v>57</v>
      </c>
      <c r="B58" t="s">
        <v>64</v>
      </c>
      <c r="C58">
        <v>2019</v>
      </c>
      <c r="D58" t="s">
        <v>8</v>
      </c>
      <c r="E58" s="2">
        <v>306</v>
      </c>
      <c r="F58" s="2">
        <v>343</v>
      </c>
      <c r="G58" s="2">
        <v>18.91</v>
      </c>
      <c r="H58" s="2">
        <v>8.98</v>
      </c>
      <c r="I58" s="9">
        <f t="shared" si="0"/>
        <v>316382200</v>
      </c>
      <c r="J58" s="9">
        <v>331201230</v>
      </c>
      <c r="K58" s="7">
        <v>14819030</v>
      </c>
    </row>
    <row r="59" spans="1:11" x14ac:dyDescent="0.35">
      <c r="A59">
        <v>58</v>
      </c>
      <c r="B59" t="s">
        <v>65</v>
      </c>
      <c r="C59">
        <v>2019</v>
      </c>
      <c r="D59" t="s">
        <v>166</v>
      </c>
      <c r="E59" s="2">
        <v>0</v>
      </c>
      <c r="F59" s="2">
        <v>8</v>
      </c>
      <c r="G59" s="2">
        <v>0</v>
      </c>
      <c r="H59" s="2">
        <v>0.21</v>
      </c>
      <c r="I59" s="9">
        <f t="shared" si="0"/>
        <v>-23500</v>
      </c>
      <c r="J59" s="9">
        <v>0</v>
      </c>
      <c r="K59" s="7">
        <v>23500</v>
      </c>
    </row>
    <row r="60" spans="1:11" x14ac:dyDescent="0.35">
      <c r="A60">
        <v>59</v>
      </c>
      <c r="B60" t="s">
        <v>66</v>
      </c>
      <c r="C60">
        <v>2019</v>
      </c>
      <c r="D60" t="s">
        <v>8</v>
      </c>
      <c r="E60" s="2">
        <v>93</v>
      </c>
      <c r="F60" s="2">
        <v>23</v>
      </c>
      <c r="G60" s="2">
        <v>5.75</v>
      </c>
      <c r="H60" s="2">
        <v>0.6</v>
      </c>
      <c r="I60" s="9">
        <f t="shared" si="0"/>
        <v>5531730</v>
      </c>
      <c r="J60" s="9">
        <v>5966470</v>
      </c>
      <c r="K60" s="7">
        <v>434740</v>
      </c>
    </row>
    <row r="61" spans="1:11" x14ac:dyDescent="0.35">
      <c r="A61">
        <v>60</v>
      </c>
      <c r="B61" t="s">
        <v>67</v>
      </c>
      <c r="C61">
        <v>2019</v>
      </c>
      <c r="D61" t="s">
        <v>8</v>
      </c>
      <c r="E61" s="2">
        <v>1</v>
      </c>
      <c r="F61" s="2">
        <v>5</v>
      </c>
      <c r="G61" s="2">
        <v>0.06</v>
      </c>
      <c r="H61" s="2">
        <v>0.13</v>
      </c>
      <c r="I61" s="9">
        <f t="shared" si="0"/>
        <v>109460</v>
      </c>
      <c r="J61" s="9">
        <v>142630</v>
      </c>
      <c r="K61" s="7">
        <v>33170</v>
      </c>
    </row>
    <row r="62" spans="1:11" x14ac:dyDescent="0.35">
      <c r="A62">
        <v>61</v>
      </c>
      <c r="B62" t="s">
        <v>68</v>
      </c>
      <c r="C62">
        <v>2019</v>
      </c>
      <c r="D62" t="s">
        <v>8</v>
      </c>
      <c r="E62" s="2">
        <v>11</v>
      </c>
      <c r="F62" s="2">
        <v>175</v>
      </c>
      <c r="G62" s="2">
        <v>0.68</v>
      </c>
      <c r="H62" s="2">
        <v>4.58</v>
      </c>
      <c r="I62" s="9">
        <f t="shared" si="0"/>
        <v>-7910140</v>
      </c>
      <c r="J62" s="9">
        <v>1784310</v>
      </c>
      <c r="K62" s="7">
        <v>9694450</v>
      </c>
    </row>
    <row r="63" spans="1:11" x14ac:dyDescent="0.35">
      <c r="A63">
        <v>62</v>
      </c>
      <c r="B63" t="s">
        <v>69</v>
      </c>
      <c r="C63">
        <v>2019</v>
      </c>
      <c r="D63" t="s">
        <v>8</v>
      </c>
      <c r="E63" s="2">
        <v>174</v>
      </c>
      <c r="F63" s="2">
        <v>962</v>
      </c>
      <c r="G63" s="2">
        <v>10.75</v>
      </c>
      <c r="H63" s="2">
        <v>25.2</v>
      </c>
      <c r="I63" s="9">
        <f t="shared" si="0"/>
        <v>-746415610</v>
      </c>
      <c r="J63" s="9">
        <v>160027610</v>
      </c>
      <c r="K63" s="7">
        <v>906443220</v>
      </c>
    </row>
    <row r="64" spans="1:11" x14ac:dyDescent="0.35">
      <c r="A64">
        <v>63</v>
      </c>
      <c r="B64" t="s">
        <v>70</v>
      </c>
      <c r="C64">
        <v>2019</v>
      </c>
      <c r="D64" t="s">
        <v>8</v>
      </c>
      <c r="E64" s="2">
        <v>403</v>
      </c>
      <c r="F64" s="2">
        <v>1911</v>
      </c>
      <c r="G64" s="2">
        <v>24.91</v>
      </c>
      <c r="H64" s="2">
        <v>50.05</v>
      </c>
      <c r="I64" s="9">
        <f t="shared" si="0"/>
        <v>-66818220</v>
      </c>
      <c r="J64" s="9">
        <v>635230720</v>
      </c>
      <c r="K64" s="7">
        <v>702048940</v>
      </c>
    </row>
    <row r="65" spans="1:11" x14ac:dyDescent="0.35">
      <c r="A65">
        <v>64</v>
      </c>
      <c r="B65" t="s">
        <v>71</v>
      </c>
      <c r="C65">
        <v>2019</v>
      </c>
      <c r="D65" t="s">
        <v>8</v>
      </c>
      <c r="E65" s="2">
        <v>87</v>
      </c>
      <c r="F65" s="2">
        <v>121</v>
      </c>
      <c r="G65" s="2">
        <v>5.38</v>
      </c>
      <c r="H65" s="2">
        <v>3.17</v>
      </c>
      <c r="I65" s="9">
        <f t="shared" si="0"/>
        <v>19539120</v>
      </c>
      <c r="J65" s="9">
        <v>32211780</v>
      </c>
      <c r="K65" s="7">
        <v>12672660</v>
      </c>
    </row>
    <row r="66" spans="1:11" x14ac:dyDescent="0.35">
      <c r="A66">
        <v>65</v>
      </c>
      <c r="B66" t="s">
        <v>72</v>
      </c>
      <c r="C66">
        <v>2019</v>
      </c>
      <c r="D66" t="s">
        <v>8</v>
      </c>
      <c r="E66" s="2">
        <v>5</v>
      </c>
      <c r="F66" s="2">
        <v>36</v>
      </c>
      <c r="G66" s="2">
        <v>0.31</v>
      </c>
      <c r="H66" s="2">
        <v>0.94</v>
      </c>
      <c r="I66" s="9">
        <f t="shared" si="0"/>
        <v>-43378460</v>
      </c>
      <c r="J66" s="9">
        <v>128720</v>
      </c>
      <c r="K66" s="7">
        <v>43507180</v>
      </c>
    </row>
    <row r="67" spans="1:11" x14ac:dyDescent="0.35">
      <c r="A67">
        <v>66</v>
      </c>
      <c r="B67" t="s">
        <v>73</v>
      </c>
      <c r="C67">
        <v>2019</v>
      </c>
      <c r="D67" t="s">
        <v>166</v>
      </c>
      <c r="E67" s="2">
        <v>0</v>
      </c>
      <c r="F67" s="2">
        <v>5</v>
      </c>
      <c r="G67" s="2">
        <v>0</v>
      </c>
      <c r="H67" s="2">
        <v>0.13</v>
      </c>
      <c r="I67" s="9">
        <f t="shared" ref="I67:I130" si="1">J67-K67</f>
        <v>-76500</v>
      </c>
      <c r="J67" s="9">
        <v>0</v>
      </c>
      <c r="K67" s="7">
        <v>76500</v>
      </c>
    </row>
    <row r="68" spans="1:11" x14ac:dyDescent="0.35">
      <c r="A68">
        <v>67</v>
      </c>
      <c r="B68" t="s">
        <v>74</v>
      </c>
      <c r="C68">
        <v>2019</v>
      </c>
      <c r="D68" t="s">
        <v>8</v>
      </c>
      <c r="E68" s="2">
        <v>103</v>
      </c>
      <c r="F68" s="2">
        <v>88</v>
      </c>
      <c r="G68" s="2">
        <v>6.37</v>
      </c>
      <c r="H68" s="2">
        <v>2.2999999999999998</v>
      </c>
      <c r="I68" s="9">
        <f t="shared" si="1"/>
        <v>5738880</v>
      </c>
      <c r="J68" s="9">
        <v>7858870</v>
      </c>
      <c r="K68" s="7">
        <v>2119990</v>
      </c>
    </row>
    <row r="69" spans="1:11" x14ac:dyDescent="0.35">
      <c r="A69">
        <v>68</v>
      </c>
      <c r="B69" t="s">
        <v>75</v>
      </c>
      <c r="C69">
        <v>2019</v>
      </c>
      <c r="D69" t="s">
        <v>8</v>
      </c>
      <c r="E69" s="2">
        <v>201</v>
      </c>
      <c r="F69" s="2">
        <v>1072</v>
      </c>
      <c r="G69" s="2">
        <v>12.42</v>
      </c>
      <c r="H69" s="2">
        <v>28.08</v>
      </c>
      <c r="I69" s="9">
        <f t="shared" si="1"/>
        <v>130142750</v>
      </c>
      <c r="J69" s="9">
        <v>214167490</v>
      </c>
      <c r="K69" s="7">
        <v>84024740</v>
      </c>
    </row>
    <row r="70" spans="1:11" x14ac:dyDescent="0.35">
      <c r="A70">
        <v>69</v>
      </c>
      <c r="B70" t="s">
        <v>76</v>
      </c>
      <c r="C70">
        <v>2019</v>
      </c>
      <c r="D70" t="s">
        <v>166</v>
      </c>
      <c r="E70" s="2">
        <v>0</v>
      </c>
      <c r="F70" s="2">
        <v>2</v>
      </c>
      <c r="G70" s="2">
        <v>0</v>
      </c>
      <c r="H70" s="2">
        <v>0.05</v>
      </c>
      <c r="I70" s="9">
        <f t="shared" si="1"/>
        <v>-2870</v>
      </c>
      <c r="J70" s="9">
        <v>0</v>
      </c>
      <c r="K70" s="7">
        <v>2870</v>
      </c>
    </row>
    <row r="71" spans="1:11" x14ac:dyDescent="0.35">
      <c r="A71">
        <v>70</v>
      </c>
      <c r="B71" t="s">
        <v>77</v>
      </c>
      <c r="C71">
        <v>2019</v>
      </c>
      <c r="D71" t="s">
        <v>8</v>
      </c>
      <c r="E71" s="2">
        <v>9</v>
      </c>
      <c r="F71" s="2">
        <v>9</v>
      </c>
      <c r="G71" s="2">
        <v>0.56000000000000005</v>
      </c>
      <c r="H71" s="2">
        <v>0.24</v>
      </c>
      <c r="I71" s="9">
        <f t="shared" si="1"/>
        <v>-2926760</v>
      </c>
      <c r="J71" s="9">
        <v>201920</v>
      </c>
      <c r="K71" s="7">
        <v>3128680</v>
      </c>
    </row>
    <row r="72" spans="1:11" x14ac:dyDescent="0.35">
      <c r="A72">
        <v>71</v>
      </c>
      <c r="B72" t="s">
        <v>78</v>
      </c>
      <c r="C72">
        <v>2019</v>
      </c>
      <c r="D72" t="s">
        <v>8</v>
      </c>
      <c r="E72" s="2">
        <v>542</v>
      </c>
      <c r="F72" s="2">
        <v>1815</v>
      </c>
      <c r="G72" s="2">
        <v>33.5</v>
      </c>
      <c r="H72" s="2">
        <v>47.54</v>
      </c>
      <c r="I72" s="9">
        <f t="shared" si="1"/>
        <v>934016130</v>
      </c>
      <c r="J72" s="9">
        <v>1435525660</v>
      </c>
      <c r="K72" s="7">
        <v>501509530</v>
      </c>
    </row>
    <row r="73" spans="1:11" x14ac:dyDescent="0.35">
      <c r="A73">
        <v>72</v>
      </c>
      <c r="B73" t="s">
        <v>79</v>
      </c>
      <c r="C73">
        <v>2019</v>
      </c>
      <c r="D73" t="s">
        <v>8</v>
      </c>
      <c r="E73" s="2">
        <v>10</v>
      </c>
      <c r="F73" s="2">
        <v>25</v>
      </c>
      <c r="G73" s="2">
        <v>0.62</v>
      </c>
      <c r="H73" s="2">
        <v>0.65</v>
      </c>
      <c r="I73" s="9">
        <f t="shared" si="1"/>
        <v>3099520</v>
      </c>
      <c r="J73" s="9">
        <v>5148300</v>
      </c>
      <c r="K73" s="7">
        <v>2048780.0000000002</v>
      </c>
    </row>
    <row r="74" spans="1:11" x14ac:dyDescent="0.35">
      <c r="A74">
        <v>73</v>
      </c>
      <c r="B74" t="s">
        <v>80</v>
      </c>
      <c r="C74">
        <v>2019</v>
      </c>
      <c r="D74" t="s">
        <v>166</v>
      </c>
      <c r="E74" s="2">
        <v>0</v>
      </c>
      <c r="F74" s="2">
        <v>21</v>
      </c>
      <c r="G74" s="2">
        <v>0</v>
      </c>
      <c r="H74" s="2">
        <v>0.55000000000000004</v>
      </c>
      <c r="I74" s="9">
        <f t="shared" si="1"/>
        <v>-236350</v>
      </c>
      <c r="J74" s="9">
        <v>0</v>
      </c>
      <c r="K74" s="7">
        <v>236350</v>
      </c>
    </row>
    <row r="75" spans="1:11" x14ac:dyDescent="0.35">
      <c r="A75">
        <v>74</v>
      </c>
      <c r="B75" t="s">
        <v>81</v>
      </c>
      <c r="C75">
        <v>2019</v>
      </c>
      <c r="D75" t="s">
        <v>8</v>
      </c>
      <c r="E75" s="2">
        <v>32</v>
      </c>
      <c r="F75" s="2">
        <v>139</v>
      </c>
      <c r="G75" s="2">
        <v>1.98</v>
      </c>
      <c r="H75" s="2">
        <v>3.64</v>
      </c>
      <c r="I75" s="9">
        <f t="shared" si="1"/>
        <v>14733400</v>
      </c>
      <c r="J75" s="9">
        <v>17070030</v>
      </c>
      <c r="K75" s="7">
        <v>2336630</v>
      </c>
    </row>
    <row r="76" spans="1:11" x14ac:dyDescent="0.35">
      <c r="A76">
        <v>75</v>
      </c>
      <c r="B76" t="s">
        <v>82</v>
      </c>
      <c r="C76">
        <v>2019</v>
      </c>
      <c r="D76" t="s">
        <v>8</v>
      </c>
      <c r="E76" s="2">
        <v>400</v>
      </c>
      <c r="F76" s="2">
        <v>1569</v>
      </c>
      <c r="G76" s="2">
        <v>24.72</v>
      </c>
      <c r="H76" s="2">
        <v>41.09</v>
      </c>
      <c r="I76" s="9">
        <f t="shared" si="1"/>
        <v>80071400</v>
      </c>
      <c r="J76" s="9">
        <v>530638900</v>
      </c>
      <c r="K76" s="7">
        <v>450567500</v>
      </c>
    </row>
    <row r="77" spans="1:11" x14ac:dyDescent="0.35">
      <c r="A77">
        <v>76</v>
      </c>
      <c r="B77" t="s">
        <v>83</v>
      </c>
      <c r="C77">
        <v>2019</v>
      </c>
      <c r="D77" t="s">
        <v>8</v>
      </c>
      <c r="E77" s="2">
        <v>22</v>
      </c>
      <c r="F77" s="2">
        <v>12</v>
      </c>
      <c r="G77" s="2">
        <v>1.36</v>
      </c>
      <c r="H77" s="2">
        <v>0.31</v>
      </c>
      <c r="I77" s="9">
        <f t="shared" si="1"/>
        <v>3529490</v>
      </c>
      <c r="J77" s="9">
        <v>5290320</v>
      </c>
      <c r="K77" s="7">
        <v>1760830</v>
      </c>
    </row>
    <row r="78" spans="1:11" x14ac:dyDescent="0.35">
      <c r="A78">
        <v>77</v>
      </c>
      <c r="B78" t="s">
        <v>84</v>
      </c>
      <c r="C78">
        <v>2019</v>
      </c>
      <c r="D78" t="s">
        <v>8</v>
      </c>
      <c r="E78" s="2">
        <v>7</v>
      </c>
      <c r="F78" s="2">
        <v>28</v>
      </c>
      <c r="G78" s="2">
        <v>0.43</v>
      </c>
      <c r="H78" s="2">
        <v>0.73</v>
      </c>
      <c r="I78" s="9">
        <f t="shared" si="1"/>
        <v>-488740</v>
      </c>
      <c r="J78" s="9">
        <v>532260</v>
      </c>
      <c r="K78" s="7">
        <v>1021000</v>
      </c>
    </row>
    <row r="79" spans="1:11" x14ac:dyDescent="0.35">
      <c r="A79">
        <v>78</v>
      </c>
      <c r="B79" t="s">
        <v>85</v>
      </c>
      <c r="C79">
        <v>2019</v>
      </c>
      <c r="D79" t="s">
        <v>8</v>
      </c>
      <c r="E79" s="2">
        <v>16</v>
      </c>
      <c r="F79" s="2">
        <v>5</v>
      </c>
      <c r="G79" s="2">
        <v>0.99</v>
      </c>
      <c r="H79" s="2">
        <v>0.13</v>
      </c>
      <c r="I79" s="9">
        <f t="shared" si="1"/>
        <v>1042560</v>
      </c>
      <c r="J79" s="9">
        <v>1780990</v>
      </c>
      <c r="K79" s="7">
        <v>738430</v>
      </c>
    </row>
    <row r="80" spans="1:11" x14ac:dyDescent="0.35">
      <c r="A80">
        <v>79</v>
      </c>
      <c r="B80" t="s">
        <v>86</v>
      </c>
      <c r="C80">
        <v>2019</v>
      </c>
      <c r="D80" t="s">
        <v>166</v>
      </c>
      <c r="E80" s="2">
        <v>0</v>
      </c>
      <c r="F80" s="2">
        <v>2</v>
      </c>
      <c r="G80" s="2">
        <v>0</v>
      </c>
      <c r="H80" s="2">
        <v>0.05</v>
      </c>
      <c r="I80" s="9">
        <f t="shared" si="1"/>
        <v>-730</v>
      </c>
      <c r="J80" s="9">
        <v>0</v>
      </c>
      <c r="K80" s="7">
        <v>730</v>
      </c>
    </row>
    <row r="81" spans="1:11" x14ac:dyDescent="0.35">
      <c r="A81">
        <v>80</v>
      </c>
      <c r="B81" t="s">
        <v>87</v>
      </c>
      <c r="C81">
        <v>2019</v>
      </c>
      <c r="D81" t="s">
        <v>8</v>
      </c>
      <c r="E81" s="2">
        <v>35</v>
      </c>
      <c r="F81" s="2">
        <v>184</v>
      </c>
      <c r="G81" s="2">
        <v>2.16</v>
      </c>
      <c r="H81" s="2">
        <v>4.82</v>
      </c>
      <c r="I81" s="9">
        <f t="shared" si="1"/>
        <v>30105820.000000004</v>
      </c>
      <c r="J81" s="9">
        <v>33153480.000000004</v>
      </c>
      <c r="K81" s="7">
        <v>3047660</v>
      </c>
    </row>
    <row r="82" spans="1:11" x14ac:dyDescent="0.35">
      <c r="A82">
        <v>81</v>
      </c>
      <c r="B82" t="s">
        <v>88</v>
      </c>
      <c r="C82">
        <v>2019</v>
      </c>
      <c r="D82" t="s">
        <v>8</v>
      </c>
      <c r="E82" s="2">
        <v>19</v>
      </c>
      <c r="F82" s="2">
        <v>36</v>
      </c>
      <c r="G82" s="2">
        <v>1.17</v>
      </c>
      <c r="H82" s="2">
        <v>0.94</v>
      </c>
      <c r="I82" s="9">
        <f t="shared" si="1"/>
        <v>3759660</v>
      </c>
      <c r="J82" s="9">
        <v>4408170</v>
      </c>
      <c r="K82" s="7">
        <v>648510</v>
      </c>
    </row>
    <row r="83" spans="1:11" x14ac:dyDescent="0.35">
      <c r="A83">
        <v>82</v>
      </c>
      <c r="B83" t="s">
        <v>89</v>
      </c>
      <c r="C83">
        <v>2019</v>
      </c>
      <c r="D83" t="s">
        <v>8</v>
      </c>
      <c r="E83" s="2">
        <v>33</v>
      </c>
      <c r="F83" s="2">
        <v>19</v>
      </c>
      <c r="G83" s="2">
        <v>2.04</v>
      </c>
      <c r="H83" s="2">
        <v>0.5</v>
      </c>
      <c r="I83" s="9">
        <f t="shared" si="1"/>
        <v>2959690</v>
      </c>
      <c r="J83" s="9">
        <v>3030300</v>
      </c>
      <c r="K83" s="7">
        <v>70610</v>
      </c>
    </row>
    <row r="84" spans="1:11" x14ac:dyDescent="0.35">
      <c r="A84">
        <v>83</v>
      </c>
      <c r="B84" t="s">
        <v>90</v>
      </c>
      <c r="C84">
        <v>2019</v>
      </c>
      <c r="D84" t="s">
        <v>8</v>
      </c>
      <c r="E84" s="2">
        <v>20</v>
      </c>
      <c r="F84" s="2">
        <v>30</v>
      </c>
      <c r="G84" s="2">
        <v>1.24</v>
      </c>
      <c r="H84" s="2">
        <v>0.79</v>
      </c>
      <c r="I84" s="9">
        <f t="shared" si="1"/>
        <v>312790</v>
      </c>
      <c r="J84" s="9">
        <v>753050</v>
      </c>
      <c r="K84" s="7">
        <v>440260</v>
      </c>
    </row>
    <row r="85" spans="1:11" x14ac:dyDescent="0.35">
      <c r="A85">
        <v>84</v>
      </c>
      <c r="B85" t="s">
        <v>91</v>
      </c>
      <c r="C85">
        <v>2019</v>
      </c>
      <c r="D85" t="s">
        <v>8</v>
      </c>
      <c r="E85" s="2">
        <v>9</v>
      </c>
      <c r="F85" s="2">
        <v>3</v>
      </c>
      <c r="G85" s="2">
        <v>0.56000000000000005</v>
      </c>
      <c r="H85" s="2">
        <v>0.08</v>
      </c>
      <c r="I85" s="9">
        <f t="shared" si="1"/>
        <v>-311610</v>
      </c>
      <c r="J85" s="9">
        <v>465770</v>
      </c>
      <c r="K85" s="7">
        <v>777380</v>
      </c>
    </row>
    <row r="86" spans="1:11" x14ac:dyDescent="0.35">
      <c r="A86">
        <v>85</v>
      </c>
      <c r="B86" t="s">
        <v>92</v>
      </c>
      <c r="C86">
        <v>2019</v>
      </c>
      <c r="D86" t="s">
        <v>8</v>
      </c>
      <c r="E86" s="2">
        <v>30</v>
      </c>
      <c r="F86" s="2">
        <v>38</v>
      </c>
      <c r="G86" s="2">
        <v>1.85</v>
      </c>
      <c r="H86" s="2">
        <v>1</v>
      </c>
      <c r="I86" s="9">
        <f t="shared" si="1"/>
        <v>661410</v>
      </c>
      <c r="J86" s="9">
        <v>891670</v>
      </c>
      <c r="K86" s="7">
        <v>230260</v>
      </c>
    </row>
    <row r="87" spans="1:11" x14ac:dyDescent="0.35">
      <c r="A87">
        <v>86</v>
      </c>
      <c r="B87" t="s">
        <v>93</v>
      </c>
      <c r="C87">
        <v>2019</v>
      </c>
      <c r="D87" t="s">
        <v>166</v>
      </c>
      <c r="E87" s="2">
        <v>0</v>
      </c>
      <c r="F87" s="2">
        <v>6</v>
      </c>
      <c r="G87" s="2">
        <v>0</v>
      </c>
      <c r="H87" s="2">
        <v>0.16</v>
      </c>
      <c r="I87" s="9">
        <f t="shared" si="1"/>
        <v>-4702070</v>
      </c>
      <c r="J87" s="9">
        <v>0</v>
      </c>
      <c r="K87" s="7">
        <v>4702070</v>
      </c>
    </row>
    <row r="88" spans="1:11" x14ac:dyDescent="0.35">
      <c r="A88">
        <v>87</v>
      </c>
      <c r="B88" t="s">
        <v>94</v>
      </c>
      <c r="C88">
        <v>2019</v>
      </c>
      <c r="D88" t="s">
        <v>8</v>
      </c>
      <c r="E88" s="2">
        <v>3</v>
      </c>
      <c r="F88" s="2">
        <v>10</v>
      </c>
      <c r="G88" s="2">
        <v>0.19</v>
      </c>
      <c r="H88" s="2">
        <v>0.26</v>
      </c>
      <c r="I88" s="9">
        <f t="shared" si="1"/>
        <v>52928250</v>
      </c>
      <c r="J88" s="9">
        <v>53371630</v>
      </c>
      <c r="K88" s="7">
        <v>443380</v>
      </c>
    </row>
    <row r="89" spans="1:11" x14ac:dyDescent="0.35">
      <c r="A89">
        <v>88</v>
      </c>
      <c r="B89" t="s">
        <v>95</v>
      </c>
      <c r="C89">
        <v>2019</v>
      </c>
      <c r="D89" t="s">
        <v>8</v>
      </c>
      <c r="E89" s="2">
        <v>124</v>
      </c>
      <c r="F89" s="2">
        <v>252</v>
      </c>
      <c r="G89" s="2">
        <v>7.66</v>
      </c>
      <c r="H89" s="2">
        <v>6.6</v>
      </c>
      <c r="I89" s="9">
        <f t="shared" si="1"/>
        <v>9859920</v>
      </c>
      <c r="J89" s="9">
        <v>21868630</v>
      </c>
      <c r="K89" s="7">
        <v>12008710</v>
      </c>
    </row>
    <row r="90" spans="1:11" x14ac:dyDescent="0.35">
      <c r="A90">
        <v>89</v>
      </c>
      <c r="B90" t="s">
        <v>96</v>
      </c>
      <c r="C90">
        <v>2019</v>
      </c>
      <c r="D90" t="s">
        <v>166</v>
      </c>
      <c r="E90" s="2">
        <v>0</v>
      </c>
      <c r="F90" s="2">
        <v>9</v>
      </c>
      <c r="G90" s="2">
        <v>0</v>
      </c>
      <c r="H90" s="2">
        <v>0.24</v>
      </c>
      <c r="I90" s="9">
        <f t="shared" si="1"/>
        <v>-1670</v>
      </c>
      <c r="J90" s="9">
        <v>0</v>
      </c>
      <c r="K90" s="7">
        <v>1670</v>
      </c>
    </row>
    <row r="91" spans="1:11" x14ac:dyDescent="0.35">
      <c r="A91">
        <v>90</v>
      </c>
      <c r="B91" t="s">
        <v>97</v>
      </c>
      <c r="C91">
        <v>2019</v>
      </c>
      <c r="D91" t="s">
        <v>8</v>
      </c>
      <c r="E91" s="2">
        <v>2</v>
      </c>
      <c r="F91" s="2">
        <v>2</v>
      </c>
      <c r="G91" s="2">
        <v>0.12</v>
      </c>
      <c r="H91" s="2">
        <v>0.05</v>
      </c>
      <c r="I91" s="9">
        <f t="shared" si="1"/>
        <v>2370440</v>
      </c>
      <c r="J91" s="9">
        <v>2396500</v>
      </c>
      <c r="K91" s="7">
        <v>26060</v>
      </c>
    </row>
    <row r="92" spans="1:11" x14ac:dyDescent="0.35">
      <c r="A92">
        <v>91</v>
      </c>
      <c r="B92" t="s">
        <v>98</v>
      </c>
      <c r="C92">
        <v>2019</v>
      </c>
      <c r="D92" t="s">
        <v>8</v>
      </c>
      <c r="E92" s="2">
        <v>1</v>
      </c>
      <c r="F92" s="2">
        <v>32</v>
      </c>
      <c r="G92" s="2">
        <v>0.06</v>
      </c>
      <c r="H92" s="2">
        <v>0.84</v>
      </c>
      <c r="I92" s="9">
        <f t="shared" si="1"/>
        <v>-59810</v>
      </c>
      <c r="J92" s="9">
        <v>900</v>
      </c>
      <c r="K92" s="7">
        <v>60710</v>
      </c>
    </row>
    <row r="93" spans="1:11" x14ac:dyDescent="0.35">
      <c r="A93">
        <v>92</v>
      </c>
      <c r="B93" t="s">
        <v>99</v>
      </c>
      <c r="C93">
        <v>2019</v>
      </c>
      <c r="D93" t="s">
        <v>8</v>
      </c>
      <c r="E93" s="2">
        <v>7</v>
      </c>
      <c r="F93" s="2">
        <v>21</v>
      </c>
      <c r="G93" s="2">
        <v>0.43</v>
      </c>
      <c r="H93" s="2">
        <v>0.55000000000000004</v>
      </c>
      <c r="I93" s="9">
        <f t="shared" si="1"/>
        <v>373170</v>
      </c>
      <c r="J93" s="9">
        <v>373950</v>
      </c>
      <c r="K93" s="7">
        <v>780</v>
      </c>
    </row>
    <row r="94" spans="1:11" x14ac:dyDescent="0.35">
      <c r="A94">
        <v>93</v>
      </c>
      <c r="B94" t="s">
        <v>100</v>
      </c>
      <c r="C94">
        <v>2019</v>
      </c>
      <c r="D94" t="s">
        <v>166</v>
      </c>
      <c r="E94" s="2">
        <v>0</v>
      </c>
      <c r="F94" s="2">
        <v>1</v>
      </c>
      <c r="G94" s="2">
        <v>0</v>
      </c>
      <c r="H94" s="2">
        <v>0.03</v>
      </c>
      <c r="I94" s="9">
        <f t="shared" si="1"/>
        <v>-630</v>
      </c>
      <c r="J94" s="9">
        <v>0</v>
      </c>
      <c r="K94" s="7">
        <v>630</v>
      </c>
    </row>
    <row r="95" spans="1:11" x14ac:dyDescent="0.35">
      <c r="A95">
        <v>94</v>
      </c>
      <c r="B95" t="s">
        <v>101</v>
      </c>
      <c r="C95">
        <v>2019</v>
      </c>
      <c r="D95" t="s">
        <v>8</v>
      </c>
      <c r="E95" s="2">
        <v>3</v>
      </c>
      <c r="F95" s="2">
        <v>2</v>
      </c>
      <c r="G95" s="2">
        <v>0.19</v>
      </c>
      <c r="H95" s="2">
        <v>0.05</v>
      </c>
      <c r="I95" s="9">
        <f t="shared" si="1"/>
        <v>-6255460</v>
      </c>
      <c r="J95" s="9">
        <v>8806010</v>
      </c>
      <c r="K95" s="7">
        <v>15061470</v>
      </c>
    </row>
    <row r="96" spans="1:11" x14ac:dyDescent="0.35">
      <c r="A96">
        <v>95</v>
      </c>
      <c r="B96" t="s">
        <v>102</v>
      </c>
      <c r="C96">
        <v>2019</v>
      </c>
      <c r="D96" t="s">
        <v>166</v>
      </c>
      <c r="E96" s="2">
        <v>0</v>
      </c>
      <c r="F96" s="2">
        <v>2</v>
      </c>
      <c r="G96" s="2">
        <v>0</v>
      </c>
      <c r="H96" s="2">
        <v>0.05</v>
      </c>
      <c r="I96" s="9">
        <f t="shared" si="1"/>
        <v>-5600</v>
      </c>
      <c r="J96" s="9">
        <v>0</v>
      </c>
      <c r="K96" s="7">
        <v>5600</v>
      </c>
    </row>
    <row r="97" spans="1:11" x14ac:dyDescent="0.35">
      <c r="A97">
        <v>96</v>
      </c>
      <c r="B97" t="s">
        <v>103</v>
      </c>
      <c r="C97">
        <v>2019</v>
      </c>
      <c r="D97" t="s">
        <v>8</v>
      </c>
      <c r="E97" s="2">
        <v>11</v>
      </c>
      <c r="F97" s="2">
        <v>5</v>
      </c>
      <c r="G97" s="2">
        <v>0.68</v>
      </c>
      <c r="H97" s="2">
        <v>0.13</v>
      </c>
      <c r="I97" s="9">
        <f t="shared" si="1"/>
        <v>480809.99999999994</v>
      </c>
      <c r="J97" s="9">
        <v>522909.99999999994</v>
      </c>
      <c r="K97" s="7">
        <v>42100</v>
      </c>
    </row>
    <row r="98" spans="1:11" x14ac:dyDescent="0.35">
      <c r="A98">
        <v>97</v>
      </c>
      <c r="B98" t="s">
        <v>104</v>
      </c>
      <c r="C98">
        <v>2019</v>
      </c>
      <c r="D98" t="s">
        <v>8</v>
      </c>
      <c r="E98" s="2">
        <v>327</v>
      </c>
      <c r="F98" s="2">
        <v>1411</v>
      </c>
      <c r="G98" s="2">
        <v>20.21</v>
      </c>
      <c r="H98" s="2">
        <v>36.96</v>
      </c>
      <c r="I98" s="9">
        <f t="shared" si="1"/>
        <v>-746447050</v>
      </c>
      <c r="J98" s="9">
        <v>198246250</v>
      </c>
      <c r="K98" s="7">
        <v>944693300</v>
      </c>
    </row>
    <row r="99" spans="1:11" x14ac:dyDescent="0.35">
      <c r="A99">
        <v>98</v>
      </c>
      <c r="B99" t="s">
        <v>105</v>
      </c>
      <c r="C99">
        <v>2019</v>
      </c>
      <c r="D99" t="s">
        <v>166</v>
      </c>
      <c r="E99" s="2">
        <v>0</v>
      </c>
      <c r="F99" s="2">
        <v>1</v>
      </c>
      <c r="G99" s="2">
        <v>0</v>
      </c>
      <c r="H99" s="2">
        <v>0.03</v>
      </c>
      <c r="I99" s="9">
        <f t="shared" si="1"/>
        <v>-110</v>
      </c>
      <c r="J99" s="9">
        <v>0</v>
      </c>
      <c r="K99" s="7">
        <v>110</v>
      </c>
    </row>
    <row r="100" spans="1:11" x14ac:dyDescent="0.35">
      <c r="A100">
        <v>99</v>
      </c>
      <c r="B100" t="s">
        <v>106</v>
      </c>
      <c r="C100">
        <v>2019</v>
      </c>
      <c r="D100" t="s">
        <v>166</v>
      </c>
      <c r="E100" s="2">
        <v>0</v>
      </c>
      <c r="F100" s="2">
        <v>3</v>
      </c>
      <c r="G100" s="2">
        <v>0</v>
      </c>
      <c r="H100" s="2">
        <v>0.08</v>
      </c>
      <c r="I100" s="9">
        <f t="shared" si="1"/>
        <v>-35360</v>
      </c>
      <c r="J100" s="9">
        <v>0</v>
      </c>
      <c r="K100" s="7">
        <v>35360</v>
      </c>
    </row>
    <row r="101" spans="1:11" x14ac:dyDescent="0.35">
      <c r="A101">
        <v>100</v>
      </c>
      <c r="B101" t="s">
        <v>107</v>
      </c>
      <c r="C101">
        <v>2019</v>
      </c>
      <c r="D101" t="s">
        <v>8</v>
      </c>
      <c r="E101" s="2">
        <v>2</v>
      </c>
      <c r="F101" s="2">
        <v>4</v>
      </c>
      <c r="G101" s="2">
        <v>0.12</v>
      </c>
      <c r="H101" s="2">
        <v>0.1</v>
      </c>
      <c r="I101" s="9">
        <f t="shared" si="1"/>
        <v>1269060</v>
      </c>
      <c r="J101" s="9">
        <v>1414680</v>
      </c>
      <c r="K101" s="7">
        <v>145620</v>
      </c>
    </row>
    <row r="102" spans="1:11" x14ac:dyDescent="0.35">
      <c r="A102">
        <v>101</v>
      </c>
      <c r="B102" t="s">
        <v>108</v>
      </c>
      <c r="C102">
        <v>2019</v>
      </c>
      <c r="D102" t="s">
        <v>8</v>
      </c>
      <c r="E102" s="2">
        <v>9</v>
      </c>
      <c r="F102" s="2">
        <v>17</v>
      </c>
      <c r="G102" s="2">
        <v>0.56000000000000005</v>
      </c>
      <c r="H102" s="2">
        <v>0.45</v>
      </c>
      <c r="I102" s="9">
        <f t="shared" si="1"/>
        <v>-2397260</v>
      </c>
      <c r="J102" s="9">
        <v>1092390</v>
      </c>
      <c r="K102" s="7">
        <v>3489650</v>
      </c>
    </row>
    <row r="103" spans="1:11" x14ac:dyDescent="0.35">
      <c r="A103">
        <v>102</v>
      </c>
      <c r="B103" t="s">
        <v>109</v>
      </c>
      <c r="C103">
        <v>2019</v>
      </c>
      <c r="D103" t="s">
        <v>166</v>
      </c>
      <c r="E103" s="2">
        <v>0</v>
      </c>
      <c r="F103" s="2">
        <v>4</v>
      </c>
      <c r="G103" s="2">
        <v>0</v>
      </c>
      <c r="H103" s="2">
        <v>0.1</v>
      </c>
      <c r="I103" s="9">
        <f t="shared" si="1"/>
        <v>-8900</v>
      </c>
      <c r="J103" s="9">
        <v>0</v>
      </c>
      <c r="K103" s="7">
        <v>8900</v>
      </c>
    </row>
    <row r="104" spans="1:11" x14ac:dyDescent="0.35">
      <c r="A104">
        <v>103</v>
      </c>
      <c r="B104" t="s">
        <v>110</v>
      </c>
      <c r="C104">
        <v>2019</v>
      </c>
      <c r="D104" t="s">
        <v>8</v>
      </c>
      <c r="E104" s="2">
        <v>232</v>
      </c>
      <c r="F104" s="2">
        <v>350</v>
      </c>
      <c r="G104" s="2">
        <v>14.34</v>
      </c>
      <c r="H104" s="2">
        <v>9.17</v>
      </c>
      <c r="I104" s="9">
        <f t="shared" si="1"/>
        <v>442416610</v>
      </c>
      <c r="J104" s="9">
        <v>481033360</v>
      </c>
      <c r="K104" s="7">
        <v>38616750</v>
      </c>
    </row>
    <row r="105" spans="1:11" x14ac:dyDescent="0.35">
      <c r="A105">
        <v>104</v>
      </c>
      <c r="B105" t="s">
        <v>111</v>
      </c>
      <c r="C105">
        <v>2019</v>
      </c>
      <c r="D105" t="s">
        <v>8</v>
      </c>
      <c r="E105" s="2">
        <v>112</v>
      </c>
      <c r="F105" s="2">
        <v>81</v>
      </c>
      <c r="G105" s="2">
        <v>6.92</v>
      </c>
      <c r="H105" s="2">
        <v>2.12</v>
      </c>
      <c r="I105" s="9">
        <f t="shared" si="1"/>
        <v>-2288290</v>
      </c>
      <c r="J105" s="9">
        <v>11605730</v>
      </c>
      <c r="K105" s="7">
        <v>13894020</v>
      </c>
    </row>
    <row r="106" spans="1:11" x14ac:dyDescent="0.35">
      <c r="A106">
        <v>105</v>
      </c>
      <c r="B106" t="s">
        <v>112</v>
      </c>
      <c r="C106">
        <v>2019</v>
      </c>
      <c r="D106" t="s">
        <v>8</v>
      </c>
      <c r="E106" s="2">
        <v>19</v>
      </c>
      <c r="F106" s="2">
        <v>19</v>
      </c>
      <c r="G106" s="2">
        <v>1.17</v>
      </c>
      <c r="H106" s="2">
        <v>0.5</v>
      </c>
      <c r="I106" s="9">
        <f t="shared" si="1"/>
        <v>9243800</v>
      </c>
      <c r="J106" s="9">
        <v>9245130</v>
      </c>
      <c r="K106" s="7">
        <v>1330</v>
      </c>
    </row>
    <row r="107" spans="1:11" x14ac:dyDescent="0.35">
      <c r="A107">
        <v>106</v>
      </c>
      <c r="B107" t="s">
        <v>113</v>
      </c>
      <c r="C107">
        <v>2019</v>
      </c>
      <c r="D107" t="s">
        <v>8</v>
      </c>
      <c r="E107" s="2">
        <v>126</v>
      </c>
      <c r="F107" s="2">
        <v>119</v>
      </c>
      <c r="G107" s="2">
        <v>7.79</v>
      </c>
      <c r="H107" s="2">
        <v>3.12</v>
      </c>
      <c r="I107" s="9">
        <f t="shared" si="1"/>
        <v>-36659030</v>
      </c>
      <c r="J107" s="9">
        <v>3478110</v>
      </c>
      <c r="K107" s="7">
        <v>40137140</v>
      </c>
    </row>
    <row r="108" spans="1:11" x14ac:dyDescent="0.35">
      <c r="A108">
        <v>107</v>
      </c>
      <c r="B108" t="s">
        <v>114</v>
      </c>
      <c r="C108">
        <v>2019</v>
      </c>
      <c r="D108" t="s">
        <v>8</v>
      </c>
      <c r="E108" s="2">
        <v>15</v>
      </c>
      <c r="F108" s="2">
        <v>39</v>
      </c>
      <c r="G108" s="2">
        <v>0.93</v>
      </c>
      <c r="H108" s="2">
        <v>1.02</v>
      </c>
      <c r="I108" s="9">
        <f t="shared" si="1"/>
        <v>-13052780</v>
      </c>
      <c r="J108" s="9">
        <v>5936690</v>
      </c>
      <c r="K108" s="7">
        <v>18989470</v>
      </c>
    </row>
    <row r="109" spans="1:11" x14ac:dyDescent="0.35">
      <c r="A109">
        <v>108</v>
      </c>
      <c r="B109" t="s">
        <v>115</v>
      </c>
      <c r="C109">
        <v>2019</v>
      </c>
      <c r="D109" t="s">
        <v>8</v>
      </c>
      <c r="E109" s="2">
        <v>31</v>
      </c>
      <c r="F109" s="2">
        <v>206</v>
      </c>
      <c r="G109" s="2">
        <v>1.92</v>
      </c>
      <c r="H109" s="2">
        <v>5.4</v>
      </c>
      <c r="I109" s="9">
        <f t="shared" si="1"/>
        <v>29051730</v>
      </c>
      <c r="J109" s="9">
        <v>49328720</v>
      </c>
      <c r="K109" s="7">
        <v>20276990</v>
      </c>
    </row>
    <row r="110" spans="1:11" x14ac:dyDescent="0.35">
      <c r="A110">
        <v>109</v>
      </c>
      <c r="B110" t="s">
        <v>116</v>
      </c>
      <c r="C110">
        <v>2019</v>
      </c>
      <c r="D110" t="s">
        <v>8</v>
      </c>
      <c r="E110" s="2">
        <v>98</v>
      </c>
      <c r="F110" s="2">
        <v>11</v>
      </c>
      <c r="G110" s="2">
        <v>6.06</v>
      </c>
      <c r="H110" s="2">
        <v>0.28999999999999998</v>
      </c>
      <c r="I110" s="9">
        <f t="shared" si="1"/>
        <v>3677230</v>
      </c>
      <c r="J110" s="9">
        <v>3857110</v>
      </c>
      <c r="K110" s="7">
        <v>179880</v>
      </c>
    </row>
    <row r="111" spans="1:11" x14ac:dyDescent="0.35">
      <c r="A111">
        <v>110</v>
      </c>
      <c r="B111" t="s">
        <v>117</v>
      </c>
      <c r="C111">
        <v>2019</v>
      </c>
      <c r="D111" t="s">
        <v>8</v>
      </c>
      <c r="E111" s="2">
        <v>114</v>
      </c>
      <c r="F111" s="2">
        <v>291</v>
      </c>
      <c r="G111" s="2">
        <v>7.05</v>
      </c>
      <c r="H111" s="2">
        <v>7.62</v>
      </c>
      <c r="I111" s="9">
        <f t="shared" si="1"/>
        <v>75924720</v>
      </c>
      <c r="J111" s="9">
        <v>124250910</v>
      </c>
      <c r="K111" s="7">
        <v>48326190</v>
      </c>
    </row>
    <row r="112" spans="1:11" x14ac:dyDescent="0.35">
      <c r="A112">
        <v>111</v>
      </c>
      <c r="B112" t="s">
        <v>118</v>
      </c>
      <c r="C112">
        <v>2019</v>
      </c>
      <c r="D112" t="s">
        <v>166</v>
      </c>
      <c r="E112" s="2">
        <v>0</v>
      </c>
      <c r="F112" s="2">
        <v>1</v>
      </c>
      <c r="G112" s="2">
        <v>0</v>
      </c>
      <c r="H112" s="2">
        <v>0.03</v>
      </c>
      <c r="I112" s="9">
        <f t="shared" si="1"/>
        <v>-2620</v>
      </c>
      <c r="J112" s="9">
        <v>0</v>
      </c>
      <c r="K112" s="7">
        <v>2620</v>
      </c>
    </row>
    <row r="113" spans="1:11" x14ac:dyDescent="0.35">
      <c r="A113">
        <v>112</v>
      </c>
      <c r="B113" t="s">
        <v>119</v>
      </c>
      <c r="C113">
        <v>2019</v>
      </c>
      <c r="D113" t="s">
        <v>8</v>
      </c>
      <c r="E113" s="2">
        <v>144</v>
      </c>
      <c r="F113" s="2">
        <v>297</v>
      </c>
      <c r="G113" s="2">
        <v>8.9</v>
      </c>
      <c r="H113" s="2">
        <v>7.78</v>
      </c>
      <c r="I113" s="9">
        <f t="shared" si="1"/>
        <v>159466290</v>
      </c>
      <c r="J113" s="9">
        <v>169153670</v>
      </c>
      <c r="K113" s="7">
        <v>9687380</v>
      </c>
    </row>
    <row r="114" spans="1:11" x14ac:dyDescent="0.35">
      <c r="A114">
        <v>113</v>
      </c>
      <c r="B114" t="s">
        <v>120</v>
      </c>
      <c r="C114">
        <v>2019</v>
      </c>
      <c r="D114" t="s">
        <v>166</v>
      </c>
      <c r="E114" s="2">
        <v>0</v>
      </c>
      <c r="F114" s="2">
        <v>30</v>
      </c>
      <c r="G114" s="2">
        <v>0</v>
      </c>
      <c r="H114" s="2">
        <v>0.79</v>
      </c>
      <c r="I114" s="9">
        <f t="shared" si="1"/>
        <v>-471470</v>
      </c>
      <c r="J114" s="9">
        <v>0</v>
      </c>
      <c r="K114" s="7">
        <v>471470</v>
      </c>
    </row>
    <row r="115" spans="1:11" x14ac:dyDescent="0.35">
      <c r="A115">
        <v>114</v>
      </c>
      <c r="B115" t="s">
        <v>121</v>
      </c>
      <c r="C115">
        <v>2019</v>
      </c>
      <c r="D115" t="s">
        <v>8</v>
      </c>
      <c r="E115" s="2">
        <v>30</v>
      </c>
      <c r="F115" s="2">
        <v>126</v>
      </c>
      <c r="G115" s="2">
        <v>1.85</v>
      </c>
      <c r="H115" s="2">
        <v>3.3</v>
      </c>
      <c r="I115" s="9">
        <f t="shared" si="1"/>
        <v>5025860</v>
      </c>
      <c r="J115" s="9">
        <v>7309410</v>
      </c>
      <c r="K115" s="7">
        <v>2283550</v>
      </c>
    </row>
    <row r="116" spans="1:11" x14ac:dyDescent="0.35">
      <c r="A116">
        <v>115</v>
      </c>
      <c r="B116" t="s">
        <v>122</v>
      </c>
      <c r="C116">
        <v>2019</v>
      </c>
      <c r="D116" t="s">
        <v>8</v>
      </c>
      <c r="E116" s="2">
        <v>8</v>
      </c>
      <c r="F116" s="2">
        <v>4</v>
      </c>
      <c r="G116" s="2">
        <v>0.49</v>
      </c>
      <c r="H116" s="2">
        <v>0.1</v>
      </c>
      <c r="I116" s="9">
        <f t="shared" si="1"/>
        <v>-3054670</v>
      </c>
      <c r="J116" s="9">
        <v>62290</v>
      </c>
      <c r="K116" s="7">
        <v>3116960</v>
      </c>
    </row>
    <row r="117" spans="1:11" x14ac:dyDescent="0.35">
      <c r="A117">
        <v>116</v>
      </c>
      <c r="B117" t="s">
        <v>123</v>
      </c>
      <c r="C117">
        <v>2019</v>
      </c>
      <c r="D117" t="s">
        <v>8</v>
      </c>
      <c r="E117" s="2">
        <v>24</v>
      </c>
      <c r="F117" s="2">
        <v>45</v>
      </c>
      <c r="G117" s="2">
        <v>1.48</v>
      </c>
      <c r="H117" s="2">
        <v>1.18</v>
      </c>
      <c r="I117" s="9">
        <f t="shared" si="1"/>
        <v>3833660</v>
      </c>
      <c r="J117" s="9">
        <v>10278390</v>
      </c>
      <c r="K117" s="7">
        <v>6444730</v>
      </c>
    </row>
    <row r="118" spans="1:11" x14ac:dyDescent="0.35">
      <c r="A118">
        <v>117</v>
      </c>
      <c r="B118" t="s">
        <v>124</v>
      </c>
      <c r="C118">
        <v>2019</v>
      </c>
      <c r="D118" t="s">
        <v>8</v>
      </c>
      <c r="E118" s="2">
        <v>38</v>
      </c>
      <c r="F118" s="2">
        <v>167</v>
      </c>
      <c r="G118" s="2">
        <v>2.35</v>
      </c>
      <c r="H118" s="2">
        <v>4.37</v>
      </c>
      <c r="I118" s="9">
        <f t="shared" si="1"/>
        <v>-6170320</v>
      </c>
      <c r="J118" s="9">
        <v>3946240</v>
      </c>
      <c r="K118" s="7">
        <v>10116560</v>
      </c>
    </row>
    <row r="119" spans="1:11" x14ac:dyDescent="0.35">
      <c r="A119">
        <v>118</v>
      </c>
      <c r="B119" t="s">
        <v>125</v>
      </c>
      <c r="C119">
        <v>2019</v>
      </c>
      <c r="D119" t="s">
        <v>8</v>
      </c>
      <c r="E119" s="2">
        <v>146</v>
      </c>
      <c r="F119" s="2">
        <v>78</v>
      </c>
      <c r="G119" s="2">
        <v>9.02</v>
      </c>
      <c r="H119" s="2">
        <v>2.04</v>
      </c>
      <c r="I119" s="9">
        <f t="shared" si="1"/>
        <v>13994650</v>
      </c>
      <c r="J119" s="9">
        <v>32423390</v>
      </c>
      <c r="K119" s="7">
        <v>18428740</v>
      </c>
    </row>
    <row r="120" spans="1:11" x14ac:dyDescent="0.35">
      <c r="A120">
        <v>119</v>
      </c>
      <c r="B120" t="s">
        <v>126</v>
      </c>
      <c r="C120">
        <v>2019</v>
      </c>
      <c r="D120" t="s">
        <v>8</v>
      </c>
      <c r="E120" s="2">
        <v>75</v>
      </c>
      <c r="F120" s="2">
        <v>106</v>
      </c>
      <c r="G120" s="2">
        <v>4.6399999999999997</v>
      </c>
      <c r="H120" s="2">
        <v>2.78</v>
      </c>
      <c r="I120" s="9">
        <f t="shared" si="1"/>
        <v>-125729860</v>
      </c>
      <c r="J120" s="9">
        <v>21936920</v>
      </c>
      <c r="K120" s="7">
        <v>147666780</v>
      </c>
    </row>
    <row r="121" spans="1:11" x14ac:dyDescent="0.35">
      <c r="A121">
        <v>120</v>
      </c>
      <c r="B121" t="s">
        <v>127</v>
      </c>
      <c r="C121">
        <v>2019</v>
      </c>
      <c r="D121" t="s">
        <v>8</v>
      </c>
      <c r="E121" s="2">
        <v>3</v>
      </c>
      <c r="F121" s="2">
        <v>3</v>
      </c>
      <c r="G121" s="2">
        <v>0.19</v>
      </c>
      <c r="H121" s="2">
        <v>0.08</v>
      </c>
      <c r="I121" s="9">
        <f t="shared" si="1"/>
        <v>27125470</v>
      </c>
      <c r="J121" s="9">
        <v>27400200</v>
      </c>
      <c r="K121" s="7">
        <v>274730</v>
      </c>
    </row>
    <row r="122" spans="1:11" x14ac:dyDescent="0.35">
      <c r="A122">
        <v>121</v>
      </c>
      <c r="B122" t="s">
        <v>128</v>
      </c>
      <c r="C122">
        <v>2019</v>
      </c>
      <c r="D122" t="s">
        <v>8</v>
      </c>
      <c r="E122" s="2">
        <v>94</v>
      </c>
      <c r="F122" s="2">
        <v>31</v>
      </c>
      <c r="G122" s="2">
        <v>5.81</v>
      </c>
      <c r="H122" s="2">
        <v>0.81</v>
      </c>
      <c r="I122" s="9">
        <f t="shared" si="1"/>
        <v>700190</v>
      </c>
      <c r="J122" s="9">
        <v>1269430</v>
      </c>
      <c r="K122" s="7">
        <v>569240</v>
      </c>
    </row>
    <row r="123" spans="1:11" x14ac:dyDescent="0.35">
      <c r="A123">
        <v>122</v>
      </c>
      <c r="B123" t="s">
        <v>129</v>
      </c>
      <c r="C123">
        <v>2019</v>
      </c>
      <c r="D123" t="s">
        <v>8</v>
      </c>
      <c r="E123" s="2">
        <v>420</v>
      </c>
      <c r="F123" s="2">
        <v>1184</v>
      </c>
      <c r="G123" s="2">
        <v>25.96</v>
      </c>
      <c r="H123" s="2">
        <v>31.01</v>
      </c>
      <c r="I123" s="9">
        <f t="shared" si="1"/>
        <v>-3054339160</v>
      </c>
      <c r="J123" s="9">
        <v>337356590</v>
      </c>
      <c r="K123" s="7">
        <v>3391695750</v>
      </c>
    </row>
    <row r="124" spans="1:11" x14ac:dyDescent="0.35">
      <c r="A124">
        <v>123</v>
      </c>
      <c r="B124" t="s">
        <v>130</v>
      </c>
      <c r="C124">
        <v>2019</v>
      </c>
      <c r="D124" t="s">
        <v>166</v>
      </c>
      <c r="E124" s="2">
        <v>0</v>
      </c>
      <c r="F124" s="2">
        <v>1</v>
      </c>
      <c r="G124" s="2">
        <v>0</v>
      </c>
      <c r="H124" s="2">
        <v>0.03</v>
      </c>
      <c r="I124" s="9">
        <f t="shared" si="1"/>
        <v>-10</v>
      </c>
      <c r="J124" s="9">
        <v>0</v>
      </c>
      <c r="K124" s="7">
        <v>10</v>
      </c>
    </row>
    <row r="125" spans="1:11" x14ac:dyDescent="0.35">
      <c r="A125">
        <v>124</v>
      </c>
      <c r="B125" t="s">
        <v>131</v>
      </c>
      <c r="C125">
        <v>2019</v>
      </c>
      <c r="D125" t="s">
        <v>8</v>
      </c>
      <c r="E125" s="2">
        <v>6</v>
      </c>
      <c r="F125" s="2">
        <v>15</v>
      </c>
      <c r="G125" s="2">
        <v>0.37</v>
      </c>
      <c r="H125" s="2">
        <v>0.39</v>
      </c>
      <c r="I125" s="9">
        <f t="shared" si="1"/>
        <v>1805030</v>
      </c>
      <c r="J125" s="9">
        <v>1826530</v>
      </c>
      <c r="K125" s="7">
        <v>21500</v>
      </c>
    </row>
    <row r="126" spans="1:11" x14ac:dyDescent="0.35">
      <c r="A126">
        <v>125</v>
      </c>
      <c r="B126" t="s">
        <v>132</v>
      </c>
      <c r="C126">
        <v>2019</v>
      </c>
      <c r="D126" t="s">
        <v>166</v>
      </c>
      <c r="E126" s="2">
        <v>0</v>
      </c>
      <c r="F126" s="2">
        <v>5</v>
      </c>
      <c r="G126" s="2">
        <v>0</v>
      </c>
      <c r="H126" s="2">
        <v>0.13</v>
      </c>
      <c r="I126" s="9">
        <f t="shared" si="1"/>
        <v>-4540</v>
      </c>
      <c r="J126" s="9">
        <v>0</v>
      </c>
      <c r="K126" s="7">
        <v>4540</v>
      </c>
    </row>
    <row r="127" spans="1:11" x14ac:dyDescent="0.35">
      <c r="A127">
        <v>126</v>
      </c>
      <c r="B127" t="s">
        <v>133</v>
      </c>
      <c r="C127">
        <v>2019</v>
      </c>
      <c r="D127" t="s">
        <v>166</v>
      </c>
      <c r="E127" s="2">
        <v>0</v>
      </c>
      <c r="F127" s="2">
        <v>1</v>
      </c>
      <c r="G127" s="2">
        <v>0</v>
      </c>
      <c r="H127" s="2">
        <v>0.03</v>
      </c>
      <c r="I127" s="9">
        <f t="shared" si="1"/>
        <v>-440</v>
      </c>
      <c r="J127" s="9">
        <v>0</v>
      </c>
      <c r="K127" s="7">
        <v>440</v>
      </c>
    </row>
    <row r="128" spans="1:11" x14ac:dyDescent="0.35">
      <c r="A128">
        <v>127</v>
      </c>
      <c r="B128" t="s">
        <v>134</v>
      </c>
      <c r="C128">
        <v>2019</v>
      </c>
      <c r="D128" t="s">
        <v>166</v>
      </c>
      <c r="E128" s="2">
        <v>0</v>
      </c>
      <c r="F128" s="2">
        <v>2</v>
      </c>
      <c r="G128" s="2">
        <v>0</v>
      </c>
      <c r="H128" s="2">
        <v>0.05</v>
      </c>
      <c r="I128" s="9">
        <f t="shared" si="1"/>
        <v>-1690</v>
      </c>
      <c r="J128" s="9">
        <v>0</v>
      </c>
      <c r="K128" s="7">
        <v>1690</v>
      </c>
    </row>
    <row r="129" spans="1:11" x14ac:dyDescent="0.35">
      <c r="A129">
        <v>128</v>
      </c>
      <c r="B129" t="s">
        <v>135</v>
      </c>
      <c r="C129">
        <v>2019</v>
      </c>
      <c r="D129" t="s">
        <v>8</v>
      </c>
      <c r="E129" s="2">
        <v>1</v>
      </c>
      <c r="F129" s="2">
        <v>3</v>
      </c>
      <c r="G129" s="2">
        <v>0.06</v>
      </c>
      <c r="H129" s="2">
        <v>0.08</v>
      </c>
      <c r="I129" s="9">
        <f t="shared" si="1"/>
        <v>-768310</v>
      </c>
      <c r="J129" s="9">
        <v>47260</v>
      </c>
      <c r="K129" s="7">
        <v>815570</v>
      </c>
    </row>
    <row r="130" spans="1:11" x14ac:dyDescent="0.35">
      <c r="A130">
        <v>129</v>
      </c>
      <c r="B130" t="s">
        <v>136</v>
      </c>
      <c r="C130">
        <v>2019</v>
      </c>
      <c r="D130" t="s">
        <v>8</v>
      </c>
      <c r="E130" s="2">
        <v>2</v>
      </c>
      <c r="F130" s="2">
        <v>2</v>
      </c>
      <c r="G130" s="2">
        <v>0.12</v>
      </c>
      <c r="H130" s="2">
        <v>0.05</v>
      </c>
      <c r="I130" s="9">
        <f t="shared" si="1"/>
        <v>115830</v>
      </c>
      <c r="J130" s="9">
        <v>116030</v>
      </c>
      <c r="K130" s="7">
        <v>200</v>
      </c>
    </row>
    <row r="131" spans="1:11" x14ac:dyDescent="0.35">
      <c r="A131">
        <v>130</v>
      </c>
      <c r="B131" t="s">
        <v>137</v>
      </c>
      <c r="C131">
        <v>2019</v>
      </c>
      <c r="D131" t="s">
        <v>8</v>
      </c>
      <c r="E131" s="2">
        <v>10</v>
      </c>
      <c r="F131" s="2">
        <v>102</v>
      </c>
      <c r="G131" s="2">
        <v>0.62</v>
      </c>
      <c r="H131" s="2">
        <v>2.67</v>
      </c>
      <c r="I131" s="9">
        <f t="shared" ref="I131:I194" si="2">J131-K131</f>
        <v>2979520</v>
      </c>
      <c r="J131" s="9">
        <v>3909970</v>
      </c>
      <c r="K131" s="7">
        <v>930450</v>
      </c>
    </row>
    <row r="132" spans="1:11" x14ac:dyDescent="0.35">
      <c r="A132">
        <v>131</v>
      </c>
      <c r="B132" t="s">
        <v>138</v>
      </c>
      <c r="C132">
        <v>2019</v>
      </c>
      <c r="D132" t="s">
        <v>8</v>
      </c>
      <c r="E132" s="2">
        <v>62</v>
      </c>
      <c r="F132" s="2">
        <v>53</v>
      </c>
      <c r="G132" s="2">
        <v>3.83</v>
      </c>
      <c r="H132" s="2">
        <v>1.39</v>
      </c>
      <c r="I132" s="9">
        <f t="shared" si="2"/>
        <v>42761910</v>
      </c>
      <c r="J132" s="9">
        <v>44281230</v>
      </c>
      <c r="K132" s="7">
        <v>1519320</v>
      </c>
    </row>
    <row r="133" spans="1:11" x14ac:dyDescent="0.35">
      <c r="A133">
        <v>132</v>
      </c>
      <c r="B133" t="s">
        <v>139</v>
      </c>
      <c r="C133">
        <v>2019</v>
      </c>
      <c r="D133" t="s">
        <v>8</v>
      </c>
      <c r="E133" s="2">
        <v>155</v>
      </c>
      <c r="F133" s="2">
        <v>290</v>
      </c>
      <c r="G133" s="2">
        <v>9.58</v>
      </c>
      <c r="H133" s="2">
        <v>7.6</v>
      </c>
      <c r="I133" s="9">
        <f t="shared" si="2"/>
        <v>58498290</v>
      </c>
      <c r="J133" s="9">
        <v>86792560</v>
      </c>
      <c r="K133" s="7">
        <v>28294270</v>
      </c>
    </row>
    <row r="134" spans="1:11" x14ac:dyDescent="0.35">
      <c r="A134">
        <v>133</v>
      </c>
      <c r="B134" t="s">
        <v>140</v>
      </c>
      <c r="C134">
        <v>2019</v>
      </c>
      <c r="D134" t="s">
        <v>8</v>
      </c>
      <c r="E134" s="2">
        <v>7</v>
      </c>
      <c r="F134" s="2">
        <v>118</v>
      </c>
      <c r="G134" s="2">
        <v>0.43</v>
      </c>
      <c r="H134" s="2">
        <v>3.09</v>
      </c>
      <c r="I134" s="9">
        <f t="shared" si="2"/>
        <v>-4201300</v>
      </c>
      <c r="J134" s="9">
        <v>739760</v>
      </c>
      <c r="K134" s="7">
        <v>4941060</v>
      </c>
    </row>
    <row r="135" spans="1:11" x14ac:dyDescent="0.35">
      <c r="A135">
        <v>134</v>
      </c>
      <c r="B135" t="s">
        <v>141</v>
      </c>
      <c r="C135">
        <v>2019</v>
      </c>
      <c r="D135" t="s">
        <v>8</v>
      </c>
      <c r="E135" s="2">
        <v>1</v>
      </c>
      <c r="F135" s="2">
        <v>1</v>
      </c>
      <c r="G135" s="2">
        <v>0.06</v>
      </c>
      <c r="H135" s="2">
        <v>0.03</v>
      </c>
      <c r="I135" s="9">
        <f t="shared" si="2"/>
        <v>-196720</v>
      </c>
      <c r="J135" s="9">
        <v>15600</v>
      </c>
      <c r="K135" s="7">
        <v>212320</v>
      </c>
    </row>
    <row r="136" spans="1:11" x14ac:dyDescent="0.35">
      <c r="A136">
        <v>135</v>
      </c>
      <c r="B136" t="s">
        <v>142</v>
      </c>
      <c r="C136">
        <v>2019</v>
      </c>
      <c r="D136" t="s">
        <v>166</v>
      </c>
      <c r="E136" s="2">
        <v>0</v>
      </c>
      <c r="F136" s="2">
        <v>1</v>
      </c>
      <c r="G136" s="2">
        <v>0</v>
      </c>
      <c r="H136" s="2">
        <v>0.03</v>
      </c>
      <c r="I136" s="9">
        <f t="shared" si="2"/>
        <v>-190</v>
      </c>
      <c r="J136" s="9">
        <v>0</v>
      </c>
      <c r="K136" s="7">
        <v>190</v>
      </c>
    </row>
    <row r="137" spans="1:11" x14ac:dyDescent="0.35">
      <c r="A137">
        <v>136</v>
      </c>
      <c r="B137" t="s">
        <v>143</v>
      </c>
      <c r="C137">
        <v>2019</v>
      </c>
      <c r="D137" t="s">
        <v>8</v>
      </c>
      <c r="E137" s="2">
        <v>1</v>
      </c>
      <c r="F137" s="2">
        <v>2</v>
      </c>
      <c r="G137" s="2">
        <v>0.06</v>
      </c>
      <c r="H137" s="2">
        <v>0.05</v>
      </c>
      <c r="I137" s="9">
        <f t="shared" si="2"/>
        <v>205640</v>
      </c>
      <c r="J137" s="9">
        <v>581880</v>
      </c>
      <c r="K137" s="7">
        <v>376240</v>
      </c>
    </row>
    <row r="138" spans="1:11" x14ac:dyDescent="0.35">
      <c r="A138">
        <v>137</v>
      </c>
      <c r="B138" t="s">
        <v>144</v>
      </c>
      <c r="C138">
        <v>2019</v>
      </c>
      <c r="D138" t="s">
        <v>8</v>
      </c>
      <c r="E138" s="2">
        <v>2</v>
      </c>
      <c r="F138" s="2">
        <v>1</v>
      </c>
      <c r="G138" s="2">
        <v>0.12</v>
      </c>
      <c r="H138" s="2">
        <v>0.03</v>
      </c>
      <c r="I138" s="9">
        <f t="shared" si="2"/>
        <v>5994450</v>
      </c>
      <c r="J138" s="9">
        <v>6526450</v>
      </c>
      <c r="K138" s="7">
        <v>532000</v>
      </c>
    </row>
    <row r="139" spans="1:11" x14ac:dyDescent="0.35">
      <c r="A139">
        <v>138</v>
      </c>
      <c r="B139" t="s">
        <v>145</v>
      </c>
      <c r="C139">
        <v>2019</v>
      </c>
      <c r="D139" t="s">
        <v>8</v>
      </c>
      <c r="E139" s="2">
        <v>470</v>
      </c>
      <c r="F139" s="2">
        <v>2562</v>
      </c>
      <c r="G139" s="2">
        <v>29.05</v>
      </c>
      <c r="H139" s="2">
        <v>67.099999999999994</v>
      </c>
      <c r="I139" s="9">
        <f t="shared" si="2"/>
        <v>1060918630</v>
      </c>
      <c r="J139" s="9">
        <v>3256931150</v>
      </c>
      <c r="K139" s="7">
        <v>2196012520</v>
      </c>
    </row>
    <row r="140" spans="1:11" x14ac:dyDescent="0.35">
      <c r="A140">
        <v>139</v>
      </c>
      <c r="B140" t="s">
        <v>146</v>
      </c>
      <c r="C140">
        <v>2019</v>
      </c>
      <c r="D140" t="s">
        <v>166</v>
      </c>
      <c r="E140" s="2">
        <v>0</v>
      </c>
      <c r="F140" s="2">
        <v>4</v>
      </c>
      <c r="G140" s="2">
        <v>0</v>
      </c>
      <c r="H140" s="2">
        <v>0.1</v>
      </c>
      <c r="I140" s="9">
        <f t="shared" si="2"/>
        <v>-406300</v>
      </c>
      <c r="J140" s="9">
        <v>0</v>
      </c>
      <c r="K140" s="7">
        <v>406300</v>
      </c>
    </row>
    <row r="141" spans="1:11" x14ac:dyDescent="0.35">
      <c r="A141">
        <v>140</v>
      </c>
      <c r="B141" t="s">
        <v>147</v>
      </c>
      <c r="C141">
        <v>2019</v>
      </c>
      <c r="D141" t="s">
        <v>166</v>
      </c>
      <c r="E141" s="2">
        <v>0</v>
      </c>
      <c r="F141" s="2">
        <v>5</v>
      </c>
      <c r="G141" s="2">
        <v>0</v>
      </c>
      <c r="H141" s="2">
        <v>0.13</v>
      </c>
      <c r="I141" s="9">
        <f t="shared" si="2"/>
        <v>-4910</v>
      </c>
      <c r="J141" s="9">
        <v>0</v>
      </c>
      <c r="K141" s="7">
        <v>4910</v>
      </c>
    </row>
    <row r="142" spans="1:11" x14ac:dyDescent="0.35">
      <c r="A142">
        <v>141</v>
      </c>
      <c r="B142" t="s">
        <v>148</v>
      </c>
      <c r="C142">
        <v>2019</v>
      </c>
      <c r="D142" t="s">
        <v>166</v>
      </c>
      <c r="E142" s="2">
        <v>0</v>
      </c>
      <c r="F142" s="2">
        <v>5</v>
      </c>
      <c r="G142" s="2">
        <v>0</v>
      </c>
      <c r="H142" s="2">
        <v>0.13</v>
      </c>
      <c r="I142" s="9">
        <f t="shared" si="2"/>
        <v>-1757160</v>
      </c>
      <c r="J142" s="9">
        <v>0</v>
      </c>
      <c r="K142" s="7">
        <v>1757160</v>
      </c>
    </row>
    <row r="143" spans="1:11" x14ac:dyDescent="0.35">
      <c r="A143">
        <v>142</v>
      </c>
      <c r="B143" t="s">
        <v>149</v>
      </c>
      <c r="C143">
        <v>2019</v>
      </c>
      <c r="D143" t="s">
        <v>8</v>
      </c>
      <c r="E143" s="2">
        <v>4</v>
      </c>
      <c r="F143" s="2">
        <v>1</v>
      </c>
      <c r="G143" s="2">
        <v>0.25</v>
      </c>
      <c r="H143" s="2">
        <v>0.03</v>
      </c>
      <c r="I143" s="9">
        <f t="shared" si="2"/>
        <v>835170</v>
      </c>
      <c r="J143" s="9">
        <v>835860</v>
      </c>
      <c r="K143" s="7">
        <v>690</v>
      </c>
    </row>
    <row r="144" spans="1:11" x14ac:dyDescent="0.35">
      <c r="A144">
        <v>143</v>
      </c>
      <c r="B144" t="s">
        <v>150</v>
      </c>
      <c r="C144">
        <v>2019</v>
      </c>
      <c r="D144" t="s">
        <v>8</v>
      </c>
      <c r="E144" s="2">
        <v>8</v>
      </c>
      <c r="F144" s="2">
        <v>2</v>
      </c>
      <c r="G144" s="2">
        <v>0.49</v>
      </c>
      <c r="H144" s="2">
        <v>0.05</v>
      </c>
      <c r="I144" s="9">
        <f t="shared" si="2"/>
        <v>2723830</v>
      </c>
      <c r="J144" s="9">
        <v>2740990</v>
      </c>
      <c r="K144" s="7">
        <v>17160</v>
      </c>
    </row>
    <row r="145" spans="1:11" x14ac:dyDescent="0.35">
      <c r="A145">
        <v>144</v>
      </c>
      <c r="B145" t="s">
        <v>151</v>
      </c>
      <c r="C145">
        <v>2019</v>
      </c>
      <c r="D145" t="s">
        <v>8</v>
      </c>
      <c r="E145" s="2">
        <v>11</v>
      </c>
      <c r="F145" s="2">
        <v>55</v>
      </c>
      <c r="G145" s="2">
        <v>0.68</v>
      </c>
      <c r="H145" s="2">
        <v>1.44</v>
      </c>
      <c r="I145" s="9">
        <f t="shared" si="2"/>
        <v>201640</v>
      </c>
      <c r="J145" s="9">
        <v>347830</v>
      </c>
      <c r="K145" s="7">
        <v>146190</v>
      </c>
    </row>
    <row r="146" spans="1:11" x14ac:dyDescent="0.35">
      <c r="A146">
        <v>145</v>
      </c>
      <c r="B146" t="s">
        <v>152</v>
      </c>
      <c r="C146">
        <v>2019</v>
      </c>
      <c r="D146" t="s">
        <v>8</v>
      </c>
      <c r="E146" s="2">
        <v>121</v>
      </c>
      <c r="F146" s="2">
        <v>443</v>
      </c>
      <c r="G146" s="2">
        <v>7.48</v>
      </c>
      <c r="H146" s="2">
        <v>11.6</v>
      </c>
      <c r="I146" s="9">
        <f t="shared" si="2"/>
        <v>-31037950</v>
      </c>
      <c r="J146" s="9">
        <v>15099320</v>
      </c>
      <c r="K146" s="7">
        <v>46137270</v>
      </c>
    </row>
    <row r="147" spans="1:11" x14ac:dyDescent="0.35">
      <c r="A147">
        <v>146</v>
      </c>
      <c r="B147" t="s">
        <v>153</v>
      </c>
      <c r="C147">
        <v>2019</v>
      </c>
      <c r="D147" t="s">
        <v>8</v>
      </c>
      <c r="E147" s="2">
        <v>2</v>
      </c>
      <c r="F147" s="2">
        <v>19</v>
      </c>
      <c r="G147" s="2">
        <v>0.12</v>
      </c>
      <c r="H147" s="2">
        <v>0.5</v>
      </c>
      <c r="I147" s="9">
        <f t="shared" si="2"/>
        <v>261200.00000000012</v>
      </c>
      <c r="J147" s="9">
        <v>1047660.0000000001</v>
      </c>
      <c r="K147" s="7">
        <v>786460</v>
      </c>
    </row>
    <row r="148" spans="1:11" x14ac:dyDescent="0.35">
      <c r="A148">
        <v>147</v>
      </c>
      <c r="B148" t="s">
        <v>154</v>
      </c>
      <c r="C148">
        <v>2019</v>
      </c>
      <c r="D148" t="s">
        <v>166</v>
      </c>
      <c r="E148" s="2">
        <v>0</v>
      </c>
      <c r="F148" s="2">
        <v>2</v>
      </c>
      <c r="G148" s="2">
        <v>0</v>
      </c>
      <c r="H148" s="2">
        <v>0.05</v>
      </c>
      <c r="I148" s="9">
        <f t="shared" si="2"/>
        <v>-353430</v>
      </c>
      <c r="J148" s="9">
        <v>0</v>
      </c>
      <c r="K148" s="7">
        <v>353430</v>
      </c>
    </row>
    <row r="149" spans="1:11" x14ac:dyDescent="0.35">
      <c r="A149">
        <v>148</v>
      </c>
      <c r="B149" t="s">
        <v>155</v>
      </c>
      <c r="C149">
        <v>2019</v>
      </c>
      <c r="D149" t="s">
        <v>8</v>
      </c>
      <c r="E149" s="2">
        <v>59</v>
      </c>
      <c r="F149" s="2">
        <v>57</v>
      </c>
      <c r="G149" s="2">
        <v>3.65</v>
      </c>
      <c r="H149" s="2">
        <v>1.49</v>
      </c>
      <c r="I149" s="9">
        <f t="shared" si="2"/>
        <v>-26599370</v>
      </c>
      <c r="J149" s="9">
        <v>1769110</v>
      </c>
      <c r="K149" s="7">
        <v>28368480</v>
      </c>
    </row>
    <row r="150" spans="1:11" x14ac:dyDescent="0.35">
      <c r="A150">
        <v>149</v>
      </c>
      <c r="B150" t="s">
        <v>156</v>
      </c>
      <c r="C150">
        <v>2019</v>
      </c>
      <c r="D150" t="s">
        <v>8</v>
      </c>
      <c r="E150" s="2">
        <v>89</v>
      </c>
      <c r="F150" s="2">
        <v>2</v>
      </c>
      <c r="G150" s="2">
        <v>5.5</v>
      </c>
      <c r="H150" s="2">
        <v>0.05</v>
      </c>
      <c r="I150" s="9">
        <f t="shared" si="2"/>
        <v>597250</v>
      </c>
      <c r="J150" s="9">
        <v>1077950</v>
      </c>
      <c r="K150" s="7">
        <v>480700</v>
      </c>
    </row>
    <row r="151" spans="1:11" x14ac:dyDescent="0.35">
      <c r="A151">
        <v>150</v>
      </c>
      <c r="B151" t="s">
        <v>157</v>
      </c>
      <c r="C151">
        <v>2019</v>
      </c>
      <c r="D151" t="s">
        <v>8</v>
      </c>
      <c r="E151" s="2">
        <v>443</v>
      </c>
      <c r="F151" s="2">
        <v>1351</v>
      </c>
      <c r="G151" s="2">
        <v>27.38</v>
      </c>
      <c r="H151" s="2">
        <v>35.380000000000003</v>
      </c>
      <c r="I151" s="9">
        <f t="shared" si="2"/>
        <v>488610130</v>
      </c>
      <c r="J151" s="9">
        <v>835157070</v>
      </c>
      <c r="K151" s="7">
        <v>346546940</v>
      </c>
    </row>
    <row r="152" spans="1:11" x14ac:dyDescent="0.35">
      <c r="A152">
        <v>151</v>
      </c>
      <c r="B152" t="s">
        <v>158</v>
      </c>
      <c r="C152">
        <v>2019</v>
      </c>
      <c r="D152" t="s">
        <v>166</v>
      </c>
      <c r="E152" s="2">
        <v>0</v>
      </c>
      <c r="F152" s="2">
        <v>3</v>
      </c>
      <c r="G152" s="2">
        <v>0</v>
      </c>
      <c r="H152" s="2">
        <v>0.08</v>
      </c>
      <c r="I152" s="9">
        <f t="shared" si="2"/>
        <v>-1065640</v>
      </c>
      <c r="J152" s="9">
        <v>0</v>
      </c>
      <c r="K152" s="7">
        <v>1065640</v>
      </c>
    </row>
    <row r="153" spans="1:11" x14ac:dyDescent="0.35">
      <c r="A153">
        <v>152</v>
      </c>
      <c r="B153" t="s">
        <v>159</v>
      </c>
      <c r="C153">
        <v>2019</v>
      </c>
      <c r="D153" t="s">
        <v>8</v>
      </c>
      <c r="E153" s="2">
        <v>17</v>
      </c>
      <c r="F153" s="2">
        <v>6</v>
      </c>
      <c r="G153" s="2">
        <v>1.05</v>
      </c>
      <c r="H153" s="2">
        <v>0.16</v>
      </c>
      <c r="I153" s="9">
        <f t="shared" si="2"/>
        <v>2387540</v>
      </c>
      <c r="J153" s="9">
        <v>2489290</v>
      </c>
      <c r="K153" s="7">
        <v>101750</v>
      </c>
    </row>
    <row r="154" spans="1:11" x14ac:dyDescent="0.35">
      <c r="A154">
        <v>153</v>
      </c>
      <c r="B154" t="s">
        <v>160</v>
      </c>
      <c r="C154">
        <v>2019</v>
      </c>
      <c r="D154" t="s">
        <v>8</v>
      </c>
      <c r="E154" s="2">
        <v>246</v>
      </c>
      <c r="F154" s="2">
        <v>1365</v>
      </c>
      <c r="G154" s="2">
        <v>15.2</v>
      </c>
      <c r="H154" s="2">
        <v>35.75</v>
      </c>
      <c r="I154" s="9">
        <f t="shared" si="2"/>
        <v>-394815550</v>
      </c>
      <c r="J154" s="9">
        <v>230092740</v>
      </c>
      <c r="K154" s="7">
        <v>624908290</v>
      </c>
    </row>
    <row r="155" spans="1:11" x14ac:dyDescent="0.35">
      <c r="A155">
        <v>154</v>
      </c>
      <c r="B155" t="s">
        <v>161</v>
      </c>
      <c r="C155">
        <v>2019</v>
      </c>
      <c r="D155" t="s">
        <v>8</v>
      </c>
      <c r="E155" s="2">
        <v>11</v>
      </c>
      <c r="F155" s="2">
        <v>1</v>
      </c>
      <c r="G155" s="2">
        <v>0.68</v>
      </c>
      <c r="H155" s="2">
        <v>0.03</v>
      </c>
      <c r="I155" s="9">
        <f t="shared" si="2"/>
        <v>696150</v>
      </c>
      <c r="J155" s="9">
        <v>696260</v>
      </c>
      <c r="K155" s="7">
        <v>110</v>
      </c>
    </row>
    <row r="156" spans="1:11" x14ac:dyDescent="0.35">
      <c r="A156">
        <v>155</v>
      </c>
      <c r="B156" t="s">
        <v>162</v>
      </c>
      <c r="C156">
        <v>2019</v>
      </c>
      <c r="D156" t="s">
        <v>8</v>
      </c>
      <c r="E156" s="2">
        <v>134</v>
      </c>
      <c r="F156" s="2">
        <v>109</v>
      </c>
      <c r="G156" s="2">
        <v>8.2799999999999994</v>
      </c>
      <c r="H156" s="2">
        <v>2.85</v>
      </c>
      <c r="I156" s="9">
        <f t="shared" si="2"/>
        <v>14002910</v>
      </c>
      <c r="J156" s="9">
        <v>21263080</v>
      </c>
      <c r="K156" s="7">
        <v>7260170</v>
      </c>
    </row>
    <row r="157" spans="1:11" x14ac:dyDescent="0.35">
      <c r="A157">
        <v>156</v>
      </c>
      <c r="B157" t="s">
        <v>163</v>
      </c>
      <c r="C157">
        <v>2019</v>
      </c>
      <c r="D157" t="s">
        <v>8</v>
      </c>
      <c r="E157" s="2">
        <v>2</v>
      </c>
      <c r="F157" s="2">
        <v>1</v>
      </c>
      <c r="G157" s="2">
        <v>0.12</v>
      </c>
      <c r="H157" s="2">
        <v>0.03</v>
      </c>
      <c r="I157" s="9">
        <f t="shared" si="2"/>
        <v>2307890</v>
      </c>
      <c r="J157" s="9">
        <v>2314130</v>
      </c>
      <c r="K157" s="7">
        <v>6240</v>
      </c>
    </row>
    <row r="158" spans="1:11" x14ac:dyDescent="0.35">
      <c r="A158">
        <v>157</v>
      </c>
      <c r="B158" t="s">
        <v>164</v>
      </c>
      <c r="C158">
        <v>2019</v>
      </c>
      <c r="D158" t="s">
        <v>8</v>
      </c>
      <c r="E158" s="2">
        <v>1</v>
      </c>
      <c r="F158" s="2">
        <v>1</v>
      </c>
      <c r="G158" s="2">
        <v>0.06</v>
      </c>
      <c r="H158" s="2">
        <v>0.03</v>
      </c>
      <c r="I158" s="9">
        <f t="shared" si="2"/>
        <v>-1072980</v>
      </c>
      <c r="J158" s="9">
        <v>11820</v>
      </c>
      <c r="K158" s="7">
        <v>1084800</v>
      </c>
    </row>
    <row r="159" spans="1:11" x14ac:dyDescent="0.35">
      <c r="A159">
        <v>158</v>
      </c>
      <c r="B159" t="s">
        <v>165</v>
      </c>
      <c r="C159">
        <v>2019</v>
      </c>
      <c r="D159" t="s">
        <v>8</v>
      </c>
      <c r="E159" s="2">
        <v>35</v>
      </c>
      <c r="F159" s="2">
        <v>1</v>
      </c>
      <c r="G159" s="2">
        <v>2.16</v>
      </c>
      <c r="H159" s="2">
        <v>0.03</v>
      </c>
      <c r="I159" s="9">
        <f t="shared" si="2"/>
        <v>806090</v>
      </c>
      <c r="J159" s="9">
        <v>996980</v>
      </c>
      <c r="K159" s="7">
        <v>190890</v>
      </c>
    </row>
    <row r="160" spans="1:11" x14ac:dyDescent="0.35">
      <c r="A160">
        <v>159</v>
      </c>
      <c r="B160" t="s">
        <v>7</v>
      </c>
      <c r="C160">
        <v>2022</v>
      </c>
      <c r="D160" t="s">
        <v>166</v>
      </c>
      <c r="E160" s="2">
        <v>0</v>
      </c>
      <c r="F160" s="2">
        <v>3</v>
      </c>
      <c r="G160" s="2">
        <v>0</v>
      </c>
      <c r="H160" s="2">
        <v>0.08</v>
      </c>
      <c r="I160" s="9">
        <f t="shared" si="2"/>
        <v>-1025329.9999999999</v>
      </c>
      <c r="J160" s="9">
        <v>0</v>
      </c>
      <c r="K160" s="8">
        <v>1025329.9999999999</v>
      </c>
    </row>
    <row r="161" spans="1:11" x14ac:dyDescent="0.35">
      <c r="A161">
        <v>160</v>
      </c>
      <c r="B161" t="s">
        <v>9</v>
      </c>
      <c r="C161">
        <v>2022</v>
      </c>
      <c r="D161" t="s">
        <v>166</v>
      </c>
      <c r="E161" s="2">
        <v>0</v>
      </c>
      <c r="F161" s="2">
        <v>1</v>
      </c>
      <c r="G161" s="2">
        <v>0</v>
      </c>
      <c r="H161" s="2">
        <v>0.03</v>
      </c>
      <c r="I161" s="9">
        <f t="shared" si="2"/>
        <v>-490</v>
      </c>
      <c r="J161" s="9">
        <v>0</v>
      </c>
      <c r="K161" s="8">
        <v>490</v>
      </c>
    </row>
    <row r="162" spans="1:11" x14ac:dyDescent="0.35">
      <c r="A162">
        <v>161</v>
      </c>
      <c r="B162" t="s">
        <v>10</v>
      </c>
      <c r="C162">
        <v>2022</v>
      </c>
      <c r="D162" t="s">
        <v>8</v>
      </c>
      <c r="E162" s="2">
        <v>162</v>
      </c>
      <c r="F162" s="2">
        <v>114</v>
      </c>
      <c r="G162" s="2">
        <v>12.16</v>
      </c>
      <c r="H162" s="2">
        <v>3.18</v>
      </c>
      <c r="I162" s="9">
        <f t="shared" si="2"/>
        <v>-96215140</v>
      </c>
      <c r="J162" s="9">
        <v>85045650</v>
      </c>
      <c r="K162" s="8">
        <v>181260790</v>
      </c>
    </row>
    <row r="163" spans="1:11" x14ac:dyDescent="0.35">
      <c r="A163">
        <v>162</v>
      </c>
      <c r="B163" t="s">
        <v>11</v>
      </c>
      <c r="C163">
        <v>2022</v>
      </c>
      <c r="D163" t="s">
        <v>8</v>
      </c>
      <c r="E163" s="2">
        <v>34</v>
      </c>
      <c r="F163" s="2">
        <v>18</v>
      </c>
      <c r="G163" s="2">
        <v>2.5499999999999998</v>
      </c>
      <c r="H163" s="2">
        <v>0.5</v>
      </c>
      <c r="I163" s="9">
        <f t="shared" si="2"/>
        <v>-56761600</v>
      </c>
      <c r="J163" s="9">
        <v>3722440</v>
      </c>
      <c r="K163" s="8">
        <v>60484040</v>
      </c>
    </row>
    <row r="164" spans="1:11" x14ac:dyDescent="0.35">
      <c r="A164">
        <v>163</v>
      </c>
      <c r="B164" t="s">
        <v>14</v>
      </c>
      <c r="C164">
        <v>2022</v>
      </c>
      <c r="D164" t="s">
        <v>8</v>
      </c>
      <c r="E164" s="2">
        <v>251</v>
      </c>
      <c r="F164" s="2">
        <v>258</v>
      </c>
      <c r="G164" s="2">
        <v>18.84</v>
      </c>
      <c r="H164" s="2">
        <v>7.2</v>
      </c>
      <c r="I164" s="9">
        <f t="shared" si="2"/>
        <v>-66224390</v>
      </c>
      <c r="J164" s="9">
        <v>32489660</v>
      </c>
      <c r="K164" s="8">
        <v>98714050</v>
      </c>
    </row>
    <row r="165" spans="1:11" x14ac:dyDescent="0.35">
      <c r="A165">
        <v>164</v>
      </c>
      <c r="B165" t="s">
        <v>15</v>
      </c>
      <c r="C165">
        <v>2022</v>
      </c>
      <c r="D165" t="s">
        <v>8</v>
      </c>
      <c r="E165" s="2">
        <v>11</v>
      </c>
      <c r="F165" s="2">
        <v>127</v>
      </c>
      <c r="G165" s="2">
        <v>0.83</v>
      </c>
      <c r="H165" s="2">
        <v>3.55</v>
      </c>
      <c r="I165" s="9">
        <f t="shared" si="2"/>
        <v>-9564940</v>
      </c>
      <c r="J165" s="9">
        <v>720540</v>
      </c>
      <c r="K165" s="8">
        <v>10285480</v>
      </c>
    </row>
    <row r="166" spans="1:11" x14ac:dyDescent="0.35">
      <c r="A166">
        <v>165</v>
      </c>
      <c r="B166" t="s">
        <v>16</v>
      </c>
      <c r="C166">
        <v>2022</v>
      </c>
      <c r="D166" t="s">
        <v>166</v>
      </c>
      <c r="E166" s="2">
        <v>0</v>
      </c>
      <c r="F166" s="2">
        <v>1</v>
      </c>
      <c r="G166" s="2">
        <v>0</v>
      </c>
      <c r="H166" s="2">
        <v>0.03</v>
      </c>
      <c r="I166" s="9">
        <f t="shared" si="2"/>
        <v>-216120</v>
      </c>
      <c r="J166" s="9">
        <v>0</v>
      </c>
      <c r="K166" s="8">
        <v>216120</v>
      </c>
    </row>
    <row r="167" spans="1:11" x14ac:dyDescent="0.35">
      <c r="A167">
        <v>166</v>
      </c>
      <c r="B167" t="s">
        <v>17</v>
      </c>
      <c r="C167">
        <v>2022</v>
      </c>
      <c r="D167" t="s">
        <v>8</v>
      </c>
      <c r="E167" s="2">
        <v>179</v>
      </c>
      <c r="F167" s="2">
        <v>201</v>
      </c>
      <c r="G167" s="2">
        <v>13.44</v>
      </c>
      <c r="H167" s="2">
        <v>5.61</v>
      </c>
      <c r="I167" s="9">
        <f t="shared" si="2"/>
        <v>321875090</v>
      </c>
      <c r="J167" s="9">
        <v>357574610</v>
      </c>
      <c r="K167" s="8">
        <v>35699520</v>
      </c>
    </row>
    <row r="168" spans="1:11" x14ac:dyDescent="0.35">
      <c r="A168">
        <v>167</v>
      </c>
      <c r="B168" t="s">
        <v>19</v>
      </c>
      <c r="C168">
        <v>2022</v>
      </c>
      <c r="D168" t="s">
        <v>8</v>
      </c>
      <c r="E168" s="2">
        <v>83</v>
      </c>
      <c r="F168" s="2">
        <v>140</v>
      </c>
      <c r="G168" s="2">
        <v>6.23</v>
      </c>
      <c r="H168" s="2">
        <v>3.91</v>
      </c>
      <c r="I168" s="9">
        <f t="shared" si="2"/>
        <v>144205510</v>
      </c>
      <c r="J168" s="9">
        <v>181096200</v>
      </c>
      <c r="K168" s="8">
        <v>36890690</v>
      </c>
    </row>
    <row r="169" spans="1:11" x14ac:dyDescent="0.35">
      <c r="A169">
        <v>168</v>
      </c>
      <c r="B169" t="s">
        <v>20</v>
      </c>
      <c r="C169">
        <v>2022</v>
      </c>
      <c r="D169" t="s">
        <v>8</v>
      </c>
      <c r="E169" s="2">
        <v>8</v>
      </c>
      <c r="F169" s="2">
        <v>43</v>
      </c>
      <c r="G169" s="2">
        <v>0.6</v>
      </c>
      <c r="H169" s="2">
        <v>1.2</v>
      </c>
      <c r="I169" s="9">
        <f t="shared" si="2"/>
        <v>15443370</v>
      </c>
      <c r="J169" s="9">
        <v>17120150</v>
      </c>
      <c r="K169" s="8">
        <v>1676780</v>
      </c>
    </row>
    <row r="170" spans="1:11" x14ac:dyDescent="0.35">
      <c r="A170">
        <v>169</v>
      </c>
      <c r="B170" t="s">
        <v>21</v>
      </c>
      <c r="C170">
        <v>2022</v>
      </c>
      <c r="D170" t="s">
        <v>8</v>
      </c>
      <c r="E170" s="2">
        <v>8</v>
      </c>
      <c r="F170" s="2">
        <v>5</v>
      </c>
      <c r="G170" s="2">
        <v>0.6</v>
      </c>
      <c r="H170" s="2">
        <v>0.14000000000000001</v>
      </c>
      <c r="I170" s="9">
        <f t="shared" si="2"/>
        <v>2159350</v>
      </c>
      <c r="J170" s="9">
        <v>2176100</v>
      </c>
      <c r="K170" s="8">
        <v>16750</v>
      </c>
    </row>
    <row r="171" spans="1:11" x14ac:dyDescent="0.35">
      <c r="A171">
        <v>170</v>
      </c>
      <c r="B171" t="s">
        <v>23</v>
      </c>
      <c r="C171">
        <v>2022</v>
      </c>
      <c r="D171" t="s">
        <v>166</v>
      </c>
      <c r="E171" s="2">
        <v>0</v>
      </c>
      <c r="F171" s="2">
        <v>13</v>
      </c>
      <c r="G171" s="2">
        <v>0</v>
      </c>
      <c r="H171" s="2">
        <v>0.36</v>
      </c>
      <c r="I171" s="9">
        <f t="shared" si="2"/>
        <v>-26960</v>
      </c>
      <c r="J171" s="9">
        <v>0</v>
      </c>
      <c r="K171" s="8">
        <v>26960</v>
      </c>
    </row>
    <row r="172" spans="1:11" x14ac:dyDescent="0.35">
      <c r="A172">
        <v>171</v>
      </c>
      <c r="B172" t="s">
        <v>24</v>
      </c>
      <c r="C172">
        <v>2022</v>
      </c>
      <c r="D172" t="s">
        <v>8</v>
      </c>
      <c r="E172" s="2">
        <v>2</v>
      </c>
      <c r="F172" s="2">
        <v>3</v>
      </c>
      <c r="G172" s="2">
        <v>0.15</v>
      </c>
      <c r="H172" s="2">
        <v>0.08</v>
      </c>
      <c r="I172" s="9">
        <f t="shared" si="2"/>
        <v>3870</v>
      </c>
      <c r="J172" s="9">
        <v>9550</v>
      </c>
      <c r="K172" s="8">
        <v>5680</v>
      </c>
    </row>
    <row r="173" spans="1:11" x14ac:dyDescent="0.35">
      <c r="A173">
        <v>172</v>
      </c>
      <c r="B173" t="s">
        <v>25</v>
      </c>
      <c r="C173">
        <v>2022</v>
      </c>
      <c r="D173" t="s">
        <v>166</v>
      </c>
      <c r="E173" s="2">
        <v>0</v>
      </c>
      <c r="F173" s="2">
        <v>1</v>
      </c>
      <c r="G173" s="2">
        <v>0</v>
      </c>
      <c r="H173" s="2">
        <v>0.03</v>
      </c>
      <c r="I173" s="9">
        <f t="shared" si="2"/>
        <v>-12150</v>
      </c>
      <c r="J173" s="9">
        <v>0</v>
      </c>
      <c r="K173" s="8">
        <v>12150</v>
      </c>
    </row>
    <row r="174" spans="1:11" x14ac:dyDescent="0.35">
      <c r="A174">
        <v>173</v>
      </c>
      <c r="B174" t="s">
        <v>26</v>
      </c>
      <c r="C174">
        <v>2022</v>
      </c>
      <c r="D174" t="s">
        <v>166</v>
      </c>
      <c r="E174" s="2">
        <v>0</v>
      </c>
      <c r="F174" s="2">
        <v>5</v>
      </c>
      <c r="G174" s="2">
        <v>0</v>
      </c>
      <c r="H174" s="2">
        <v>0.14000000000000001</v>
      </c>
      <c r="I174" s="9">
        <f t="shared" si="2"/>
        <v>-24807540</v>
      </c>
      <c r="J174" s="9">
        <v>0</v>
      </c>
      <c r="K174" s="8">
        <v>24807540</v>
      </c>
    </row>
    <row r="175" spans="1:11" x14ac:dyDescent="0.35">
      <c r="A175">
        <v>174</v>
      </c>
      <c r="B175" t="s">
        <v>27</v>
      </c>
      <c r="C175">
        <v>2022</v>
      </c>
      <c r="D175" t="s">
        <v>8</v>
      </c>
      <c r="E175" s="2">
        <v>36</v>
      </c>
      <c r="F175" s="2">
        <v>77</v>
      </c>
      <c r="G175" s="2">
        <v>2.7</v>
      </c>
      <c r="H175" s="2">
        <v>2.15</v>
      </c>
      <c r="I175" s="9">
        <f t="shared" si="2"/>
        <v>-73973900</v>
      </c>
      <c r="J175" s="9">
        <v>2968340</v>
      </c>
      <c r="K175" s="8">
        <v>76942240</v>
      </c>
    </row>
    <row r="176" spans="1:11" x14ac:dyDescent="0.35">
      <c r="A176">
        <v>175</v>
      </c>
      <c r="B176" t="s">
        <v>29</v>
      </c>
      <c r="C176">
        <v>2022</v>
      </c>
      <c r="D176" t="s">
        <v>8</v>
      </c>
      <c r="E176" s="2">
        <v>7</v>
      </c>
      <c r="F176" s="2">
        <v>10</v>
      </c>
      <c r="G176" s="2">
        <v>0.53</v>
      </c>
      <c r="H176" s="2">
        <v>0.28000000000000003</v>
      </c>
      <c r="I176" s="9">
        <f t="shared" si="2"/>
        <v>-63507430</v>
      </c>
      <c r="J176" s="9">
        <v>410260</v>
      </c>
      <c r="K176" s="8">
        <v>63917690</v>
      </c>
    </row>
    <row r="177" spans="1:11" x14ac:dyDescent="0.35">
      <c r="A177">
        <v>176</v>
      </c>
      <c r="B177" t="s">
        <v>31</v>
      </c>
      <c r="C177">
        <v>2022</v>
      </c>
      <c r="D177" t="s">
        <v>8</v>
      </c>
      <c r="E177" s="2">
        <v>206</v>
      </c>
      <c r="F177" s="2">
        <v>117</v>
      </c>
      <c r="G177" s="2">
        <v>15.47</v>
      </c>
      <c r="H177" s="2">
        <v>3.27</v>
      </c>
      <c r="I177" s="9">
        <f t="shared" si="2"/>
        <v>71829430</v>
      </c>
      <c r="J177" s="9">
        <v>85510430</v>
      </c>
      <c r="K177" s="8">
        <v>13681000</v>
      </c>
    </row>
    <row r="178" spans="1:11" x14ac:dyDescent="0.35">
      <c r="A178">
        <v>177</v>
      </c>
      <c r="B178" t="s">
        <v>32</v>
      </c>
      <c r="C178">
        <v>2022</v>
      </c>
      <c r="D178" t="s">
        <v>8</v>
      </c>
      <c r="E178" s="2">
        <v>46</v>
      </c>
      <c r="F178" s="2">
        <v>222</v>
      </c>
      <c r="G178" s="2">
        <v>3.45</v>
      </c>
      <c r="H178" s="2">
        <v>6.2</v>
      </c>
      <c r="I178" s="9">
        <f t="shared" si="2"/>
        <v>-6227240</v>
      </c>
      <c r="J178" s="9">
        <v>1220420</v>
      </c>
      <c r="K178" s="8">
        <v>7447660</v>
      </c>
    </row>
    <row r="179" spans="1:11" x14ac:dyDescent="0.35">
      <c r="A179">
        <v>178</v>
      </c>
      <c r="B179" t="s">
        <v>33</v>
      </c>
      <c r="C179">
        <v>2022</v>
      </c>
      <c r="D179" t="s">
        <v>8</v>
      </c>
      <c r="E179" s="2">
        <v>102</v>
      </c>
      <c r="F179" s="2">
        <v>5</v>
      </c>
      <c r="G179" s="2">
        <v>7.66</v>
      </c>
      <c r="H179" s="2">
        <v>0.14000000000000001</v>
      </c>
      <c r="I179" s="9">
        <f t="shared" si="2"/>
        <v>13608920</v>
      </c>
      <c r="J179" s="9">
        <v>13841340</v>
      </c>
      <c r="K179" s="8">
        <v>232420</v>
      </c>
    </row>
    <row r="180" spans="1:11" x14ac:dyDescent="0.35">
      <c r="A180">
        <v>179</v>
      </c>
      <c r="B180" t="s">
        <v>34</v>
      </c>
      <c r="C180">
        <v>2022</v>
      </c>
      <c r="D180" t="s">
        <v>8</v>
      </c>
      <c r="E180" s="2">
        <v>451</v>
      </c>
      <c r="F180" s="2">
        <v>3044</v>
      </c>
      <c r="G180" s="2">
        <v>33.86</v>
      </c>
      <c r="H180" s="2">
        <v>84.98</v>
      </c>
      <c r="I180" s="9">
        <f t="shared" si="2"/>
        <v>-1899383470</v>
      </c>
      <c r="J180" s="9">
        <v>3687329860</v>
      </c>
      <c r="K180" s="8">
        <v>5586713330</v>
      </c>
    </row>
    <row r="181" spans="1:11" x14ac:dyDescent="0.35">
      <c r="A181">
        <v>180</v>
      </c>
      <c r="B181" t="s">
        <v>167</v>
      </c>
      <c r="C181">
        <v>2022</v>
      </c>
      <c r="D181" t="s">
        <v>8</v>
      </c>
      <c r="E181" s="2">
        <v>3</v>
      </c>
      <c r="F181" s="2">
        <v>1</v>
      </c>
      <c r="G181" s="2">
        <v>0.23</v>
      </c>
      <c r="H181" s="2">
        <v>0.03</v>
      </c>
      <c r="I181" s="9">
        <f t="shared" si="2"/>
        <v>19587560</v>
      </c>
      <c r="J181" s="9">
        <v>19593560</v>
      </c>
      <c r="K181" s="8">
        <v>6000</v>
      </c>
    </row>
    <row r="182" spans="1:11" x14ac:dyDescent="0.35">
      <c r="A182">
        <v>181</v>
      </c>
      <c r="B182" t="s">
        <v>35</v>
      </c>
      <c r="C182">
        <v>2022</v>
      </c>
      <c r="D182" t="s">
        <v>8</v>
      </c>
      <c r="E182" s="2">
        <v>1</v>
      </c>
      <c r="F182" s="2">
        <v>28</v>
      </c>
      <c r="G182" s="2">
        <v>0.08</v>
      </c>
      <c r="H182" s="2">
        <v>0.78</v>
      </c>
      <c r="I182" s="9">
        <f t="shared" si="2"/>
        <v>12289570</v>
      </c>
      <c r="J182" s="9">
        <v>14991200</v>
      </c>
      <c r="K182" s="8">
        <v>2701630</v>
      </c>
    </row>
    <row r="183" spans="1:11" x14ac:dyDescent="0.35">
      <c r="A183">
        <v>182</v>
      </c>
      <c r="B183" t="s">
        <v>36</v>
      </c>
      <c r="C183">
        <v>2022</v>
      </c>
      <c r="D183" t="s">
        <v>8</v>
      </c>
      <c r="E183" s="2">
        <v>1</v>
      </c>
      <c r="F183" s="2">
        <v>1</v>
      </c>
      <c r="G183" s="2">
        <v>0.08</v>
      </c>
      <c r="H183" s="2">
        <v>0.03</v>
      </c>
      <c r="I183" s="9">
        <f t="shared" si="2"/>
        <v>-1227120</v>
      </c>
      <c r="J183" s="9">
        <v>240</v>
      </c>
      <c r="K183" s="8">
        <v>1227360</v>
      </c>
    </row>
    <row r="184" spans="1:11" x14ac:dyDescent="0.35">
      <c r="A184">
        <v>183</v>
      </c>
      <c r="B184" t="s">
        <v>168</v>
      </c>
      <c r="C184">
        <v>2022</v>
      </c>
      <c r="D184" t="s">
        <v>166</v>
      </c>
      <c r="E184" s="2">
        <v>0</v>
      </c>
      <c r="F184" s="2">
        <v>1</v>
      </c>
      <c r="G184" s="2">
        <v>0</v>
      </c>
      <c r="H184" s="2">
        <v>0.03</v>
      </c>
      <c r="I184" s="9">
        <f t="shared" si="2"/>
        <v>-1020</v>
      </c>
      <c r="J184" s="9">
        <v>0</v>
      </c>
      <c r="K184" s="8">
        <v>1020</v>
      </c>
    </row>
    <row r="185" spans="1:11" x14ac:dyDescent="0.35">
      <c r="A185">
        <v>184</v>
      </c>
      <c r="B185" t="s">
        <v>37</v>
      </c>
      <c r="C185">
        <v>2022</v>
      </c>
      <c r="D185" t="s">
        <v>8</v>
      </c>
      <c r="E185" s="2">
        <v>90</v>
      </c>
      <c r="F185" s="2">
        <v>2</v>
      </c>
      <c r="G185" s="2">
        <v>6.76</v>
      </c>
      <c r="H185" s="2">
        <v>0.06</v>
      </c>
      <c r="I185" s="9">
        <f t="shared" si="2"/>
        <v>8035640</v>
      </c>
      <c r="J185" s="9">
        <v>8035670</v>
      </c>
      <c r="K185" s="8">
        <v>30</v>
      </c>
    </row>
    <row r="186" spans="1:11" x14ac:dyDescent="0.35">
      <c r="A186">
        <v>185</v>
      </c>
      <c r="B186" t="s">
        <v>38</v>
      </c>
      <c r="C186">
        <v>2022</v>
      </c>
      <c r="D186" t="s">
        <v>8</v>
      </c>
      <c r="E186" s="2">
        <v>1</v>
      </c>
      <c r="F186" s="2">
        <v>3</v>
      </c>
      <c r="G186" s="2">
        <v>0.08</v>
      </c>
      <c r="H186" s="2">
        <v>0.08</v>
      </c>
      <c r="I186" s="9">
        <f t="shared" si="2"/>
        <v>36590</v>
      </c>
      <c r="J186" s="9">
        <v>37920</v>
      </c>
      <c r="K186" s="8">
        <v>1330</v>
      </c>
    </row>
    <row r="187" spans="1:11" x14ac:dyDescent="0.35">
      <c r="A187">
        <v>186</v>
      </c>
      <c r="B187" t="s">
        <v>39</v>
      </c>
      <c r="C187">
        <v>2022</v>
      </c>
      <c r="D187" t="s">
        <v>8</v>
      </c>
      <c r="E187" s="2">
        <v>3</v>
      </c>
      <c r="F187" s="2">
        <v>10</v>
      </c>
      <c r="G187" s="2">
        <v>0.23</v>
      </c>
      <c r="H187" s="2">
        <v>0.28000000000000003</v>
      </c>
      <c r="I187" s="9">
        <f t="shared" si="2"/>
        <v>6610</v>
      </c>
      <c r="J187" s="9">
        <v>64940</v>
      </c>
      <c r="K187" s="8">
        <v>58330</v>
      </c>
    </row>
    <row r="188" spans="1:11" x14ac:dyDescent="0.35">
      <c r="A188">
        <v>187</v>
      </c>
      <c r="B188" t="s">
        <v>40</v>
      </c>
      <c r="C188">
        <v>2022</v>
      </c>
      <c r="D188" t="s">
        <v>8</v>
      </c>
      <c r="E188" s="2">
        <v>5</v>
      </c>
      <c r="F188" s="2">
        <v>1</v>
      </c>
      <c r="G188" s="2">
        <v>0.38</v>
      </c>
      <c r="H188" s="2">
        <v>0.03</v>
      </c>
      <c r="I188" s="9">
        <f t="shared" si="2"/>
        <v>746400</v>
      </c>
      <c r="J188" s="9">
        <v>775670</v>
      </c>
      <c r="K188" s="8">
        <v>29270</v>
      </c>
    </row>
    <row r="189" spans="1:11" x14ac:dyDescent="0.35">
      <c r="A189">
        <v>188</v>
      </c>
      <c r="B189" t="s">
        <v>169</v>
      </c>
      <c r="C189">
        <v>2022</v>
      </c>
      <c r="D189" t="s">
        <v>166</v>
      </c>
      <c r="E189" s="2">
        <v>0</v>
      </c>
      <c r="F189" s="2">
        <v>1</v>
      </c>
      <c r="G189" s="2">
        <v>0</v>
      </c>
      <c r="H189" s="2">
        <v>0.03</v>
      </c>
      <c r="I189" s="9">
        <f t="shared" si="2"/>
        <v>-1390</v>
      </c>
      <c r="J189" s="9">
        <v>0</v>
      </c>
      <c r="K189" s="8">
        <v>1390</v>
      </c>
    </row>
    <row r="190" spans="1:11" x14ac:dyDescent="0.35">
      <c r="A190">
        <v>189</v>
      </c>
      <c r="B190" t="s">
        <v>42</v>
      </c>
      <c r="C190">
        <v>2022</v>
      </c>
      <c r="D190" t="s">
        <v>8</v>
      </c>
      <c r="E190" s="2">
        <v>11</v>
      </c>
      <c r="F190" s="2">
        <v>10</v>
      </c>
      <c r="G190" s="2">
        <v>0.83</v>
      </c>
      <c r="H190" s="2">
        <v>0.28000000000000003</v>
      </c>
      <c r="I190" s="9">
        <f t="shared" si="2"/>
        <v>-2098090</v>
      </c>
      <c r="J190" s="9">
        <v>255210</v>
      </c>
      <c r="K190" s="8">
        <v>2353300</v>
      </c>
    </row>
    <row r="191" spans="1:11" x14ac:dyDescent="0.35">
      <c r="A191">
        <v>190</v>
      </c>
      <c r="B191" t="s">
        <v>43</v>
      </c>
      <c r="C191">
        <v>2022</v>
      </c>
      <c r="D191" t="s">
        <v>8</v>
      </c>
      <c r="E191" s="2">
        <v>54</v>
      </c>
      <c r="F191" s="2">
        <v>134</v>
      </c>
      <c r="G191" s="2">
        <v>4.05</v>
      </c>
      <c r="H191" s="2">
        <v>3.74</v>
      </c>
      <c r="I191" s="9">
        <f t="shared" si="2"/>
        <v>17306940</v>
      </c>
      <c r="J191" s="9">
        <v>23179440</v>
      </c>
      <c r="K191" s="8">
        <v>5872500</v>
      </c>
    </row>
    <row r="192" spans="1:11" x14ac:dyDescent="0.35">
      <c r="A192">
        <v>191</v>
      </c>
      <c r="B192" t="s">
        <v>44</v>
      </c>
      <c r="C192">
        <v>2022</v>
      </c>
      <c r="D192" t="s">
        <v>8</v>
      </c>
      <c r="E192" s="2">
        <v>234</v>
      </c>
      <c r="F192" s="2">
        <v>791</v>
      </c>
      <c r="G192" s="2">
        <v>17.57</v>
      </c>
      <c r="H192" s="2">
        <v>22.08</v>
      </c>
      <c r="I192" s="9">
        <f t="shared" si="2"/>
        <v>596487970</v>
      </c>
      <c r="J192" s="9">
        <v>679882260</v>
      </c>
      <c r="K192" s="8">
        <v>83394290</v>
      </c>
    </row>
    <row r="193" spans="1:11" x14ac:dyDescent="0.35">
      <c r="A193">
        <v>192</v>
      </c>
      <c r="B193" t="s">
        <v>45</v>
      </c>
      <c r="C193">
        <v>2022</v>
      </c>
      <c r="D193" t="s">
        <v>166</v>
      </c>
      <c r="E193" s="2">
        <v>0</v>
      </c>
      <c r="F193" s="2">
        <v>2</v>
      </c>
      <c r="G193" s="2">
        <v>0</v>
      </c>
      <c r="H193" s="2">
        <v>0.06</v>
      </c>
      <c r="I193" s="9">
        <f t="shared" si="2"/>
        <v>-140</v>
      </c>
      <c r="J193" s="9">
        <v>0</v>
      </c>
      <c r="K193" s="8">
        <v>140</v>
      </c>
    </row>
    <row r="194" spans="1:11" x14ac:dyDescent="0.35">
      <c r="A194">
        <v>193</v>
      </c>
      <c r="B194" t="s">
        <v>46</v>
      </c>
      <c r="C194">
        <v>2022</v>
      </c>
      <c r="D194" t="s">
        <v>8</v>
      </c>
      <c r="E194" s="2">
        <v>115</v>
      </c>
      <c r="F194" s="2">
        <v>107</v>
      </c>
      <c r="G194" s="2">
        <v>8.6300000000000008</v>
      </c>
      <c r="H194" s="2">
        <v>2.99</v>
      </c>
      <c r="I194" s="9">
        <f t="shared" si="2"/>
        <v>168451920</v>
      </c>
      <c r="J194" s="9">
        <v>175428200</v>
      </c>
      <c r="K194" s="8">
        <v>6976280</v>
      </c>
    </row>
    <row r="195" spans="1:11" x14ac:dyDescent="0.35">
      <c r="A195">
        <v>194</v>
      </c>
      <c r="B195" t="s">
        <v>47</v>
      </c>
      <c r="C195">
        <v>2022</v>
      </c>
      <c r="D195" t="s">
        <v>8</v>
      </c>
      <c r="E195" s="2">
        <v>2</v>
      </c>
      <c r="F195" s="2">
        <v>9</v>
      </c>
      <c r="G195" s="2">
        <v>0.15</v>
      </c>
      <c r="H195" s="2">
        <v>0.25</v>
      </c>
      <c r="I195" s="9">
        <f t="shared" ref="I195:I258" si="3">J195-K195</f>
        <v>-10770</v>
      </c>
      <c r="J195" s="9">
        <v>133050</v>
      </c>
      <c r="K195" s="8">
        <v>143820</v>
      </c>
    </row>
    <row r="196" spans="1:11" x14ac:dyDescent="0.35">
      <c r="A196">
        <v>195</v>
      </c>
      <c r="B196" t="s">
        <v>48</v>
      </c>
      <c r="C196">
        <v>2022</v>
      </c>
      <c r="D196" t="s">
        <v>8</v>
      </c>
      <c r="E196" s="2">
        <v>61</v>
      </c>
      <c r="F196" s="2">
        <v>2</v>
      </c>
      <c r="G196" s="2">
        <v>4.58</v>
      </c>
      <c r="H196" s="2">
        <v>0.06</v>
      </c>
      <c r="I196" s="9">
        <f t="shared" si="3"/>
        <v>840630</v>
      </c>
      <c r="J196" s="9">
        <v>863450</v>
      </c>
      <c r="K196" s="8">
        <v>22820</v>
      </c>
    </row>
    <row r="197" spans="1:11" x14ac:dyDescent="0.35">
      <c r="A197">
        <v>196</v>
      </c>
      <c r="B197" t="s">
        <v>49</v>
      </c>
      <c r="C197">
        <v>2022</v>
      </c>
      <c r="D197" t="s">
        <v>8</v>
      </c>
      <c r="E197" s="2">
        <v>3</v>
      </c>
      <c r="F197" s="2">
        <v>12</v>
      </c>
      <c r="G197" s="2">
        <v>0.23</v>
      </c>
      <c r="H197" s="2">
        <v>0.34</v>
      </c>
      <c r="I197" s="9">
        <f t="shared" si="3"/>
        <v>-759400</v>
      </c>
      <c r="J197" s="9">
        <v>9060</v>
      </c>
      <c r="K197" s="8">
        <v>768460</v>
      </c>
    </row>
    <row r="198" spans="1:11" x14ac:dyDescent="0.35">
      <c r="A198">
        <v>197</v>
      </c>
      <c r="B198" t="s">
        <v>51</v>
      </c>
      <c r="C198">
        <v>2022</v>
      </c>
      <c r="D198" t="s">
        <v>8</v>
      </c>
      <c r="E198" s="2">
        <v>198</v>
      </c>
      <c r="F198" s="2">
        <v>244</v>
      </c>
      <c r="G198" s="2">
        <v>14.86</v>
      </c>
      <c r="H198" s="2">
        <v>6.81</v>
      </c>
      <c r="I198" s="9">
        <f t="shared" si="3"/>
        <v>595626480</v>
      </c>
      <c r="J198" s="9">
        <v>622171530</v>
      </c>
      <c r="K198" s="8">
        <v>26545050</v>
      </c>
    </row>
    <row r="199" spans="1:11" x14ac:dyDescent="0.35">
      <c r="A199">
        <v>198</v>
      </c>
      <c r="B199" t="s">
        <v>52</v>
      </c>
      <c r="C199">
        <v>2022</v>
      </c>
      <c r="D199" t="s">
        <v>8</v>
      </c>
      <c r="E199" s="2">
        <v>3</v>
      </c>
      <c r="F199" s="2">
        <v>19</v>
      </c>
      <c r="G199" s="2">
        <v>0.23</v>
      </c>
      <c r="H199" s="2">
        <v>0.53</v>
      </c>
      <c r="I199" s="9">
        <f t="shared" si="3"/>
        <v>86740</v>
      </c>
      <c r="J199" s="9">
        <v>136340</v>
      </c>
      <c r="K199" s="8">
        <v>49600</v>
      </c>
    </row>
    <row r="200" spans="1:11" x14ac:dyDescent="0.35">
      <c r="A200">
        <v>199</v>
      </c>
      <c r="B200" t="s">
        <v>53</v>
      </c>
      <c r="C200">
        <v>2022</v>
      </c>
      <c r="D200" t="s">
        <v>166</v>
      </c>
      <c r="E200" s="2">
        <v>0</v>
      </c>
      <c r="F200" s="2">
        <v>9</v>
      </c>
      <c r="G200" s="2">
        <v>0</v>
      </c>
      <c r="H200" s="2">
        <v>0.25</v>
      </c>
      <c r="I200" s="9">
        <f t="shared" si="3"/>
        <v>-41350</v>
      </c>
      <c r="J200" s="9">
        <v>0</v>
      </c>
      <c r="K200" s="8">
        <v>41350</v>
      </c>
    </row>
    <row r="201" spans="1:11" x14ac:dyDescent="0.35">
      <c r="A201">
        <v>200</v>
      </c>
      <c r="B201" t="s">
        <v>54</v>
      </c>
      <c r="C201">
        <v>2022</v>
      </c>
      <c r="D201" t="s">
        <v>8</v>
      </c>
      <c r="E201" s="2">
        <v>41</v>
      </c>
      <c r="F201" s="2">
        <v>95</v>
      </c>
      <c r="G201" s="2">
        <v>3.08</v>
      </c>
      <c r="H201" s="2">
        <v>2.65</v>
      </c>
      <c r="I201" s="9">
        <f t="shared" si="3"/>
        <v>3519730</v>
      </c>
      <c r="J201" s="9">
        <v>5013560</v>
      </c>
      <c r="K201" s="8">
        <v>1493830</v>
      </c>
    </row>
    <row r="202" spans="1:11" x14ac:dyDescent="0.35">
      <c r="A202">
        <v>201</v>
      </c>
      <c r="B202" t="s">
        <v>170</v>
      </c>
      <c r="C202">
        <v>2022</v>
      </c>
      <c r="D202" t="s">
        <v>166</v>
      </c>
      <c r="E202" s="2">
        <v>0</v>
      </c>
      <c r="F202" s="2">
        <v>2</v>
      </c>
      <c r="G202" s="2">
        <v>0</v>
      </c>
      <c r="H202" s="2">
        <v>0.06</v>
      </c>
      <c r="I202" s="9">
        <f t="shared" si="3"/>
        <v>-738650</v>
      </c>
      <c r="J202" s="9">
        <v>0</v>
      </c>
      <c r="K202" s="8">
        <v>738650</v>
      </c>
    </row>
    <row r="203" spans="1:11" x14ac:dyDescent="0.35">
      <c r="A203">
        <v>202</v>
      </c>
      <c r="B203" t="s">
        <v>55</v>
      </c>
      <c r="C203">
        <v>2022</v>
      </c>
      <c r="D203" t="s">
        <v>8</v>
      </c>
      <c r="E203" s="2">
        <v>193</v>
      </c>
      <c r="F203" s="2">
        <v>426</v>
      </c>
      <c r="G203" s="2">
        <v>14.49</v>
      </c>
      <c r="H203" s="2">
        <v>11.89</v>
      </c>
      <c r="I203" s="9">
        <f t="shared" si="3"/>
        <v>88180080</v>
      </c>
      <c r="J203" s="9">
        <v>146514730</v>
      </c>
      <c r="K203" s="8">
        <v>58334650</v>
      </c>
    </row>
    <row r="204" spans="1:11" x14ac:dyDescent="0.35">
      <c r="A204">
        <v>203</v>
      </c>
      <c r="B204" t="s">
        <v>56</v>
      </c>
      <c r="C204">
        <v>2022</v>
      </c>
      <c r="D204" t="s">
        <v>166</v>
      </c>
      <c r="E204" s="2">
        <v>0</v>
      </c>
      <c r="F204" s="2">
        <v>5</v>
      </c>
      <c r="G204" s="2">
        <v>0</v>
      </c>
      <c r="H204" s="2">
        <v>0.14000000000000001</v>
      </c>
      <c r="I204" s="9">
        <f t="shared" si="3"/>
        <v>-5170</v>
      </c>
      <c r="J204" s="9">
        <v>0</v>
      </c>
      <c r="K204" s="8">
        <v>5170</v>
      </c>
    </row>
    <row r="205" spans="1:11" x14ac:dyDescent="0.35">
      <c r="A205">
        <v>204</v>
      </c>
      <c r="B205" t="s">
        <v>58</v>
      </c>
      <c r="C205">
        <v>2022</v>
      </c>
      <c r="D205" t="s">
        <v>8</v>
      </c>
      <c r="E205" s="2">
        <v>238</v>
      </c>
      <c r="F205" s="2">
        <v>441</v>
      </c>
      <c r="G205" s="2">
        <v>17.87</v>
      </c>
      <c r="H205" s="2">
        <v>12.31</v>
      </c>
      <c r="I205" s="9">
        <f t="shared" si="3"/>
        <v>598342970</v>
      </c>
      <c r="J205" s="9">
        <v>623245200</v>
      </c>
      <c r="K205" s="8">
        <v>24902230</v>
      </c>
    </row>
    <row r="206" spans="1:11" x14ac:dyDescent="0.35">
      <c r="A206">
        <v>205</v>
      </c>
      <c r="B206" t="s">
        <v>171</v>
      </c>
      <c r="C206">
        <v>2022</v>
      </c>
      <c r="D206" t="s">
        <v>166</v>
      </c>
      <c r="E206" s="2">
        <v>0</v>
      </c>
      <c r="F206" s="2">
        <v>4</v>
      </c>
      <c r="G206" s="2">
        <v>0</v>
      </c>
      <c r="H206" s="2">
        <v>0.11</v>
      </c>
      <c r="I206" s="9">
        <f t="shared" si="3"/>
        <v>-4310</v>
      </c>
      <c r="J206" s="9">
        <v>0</v>
      </c>
      <c r="K206" s="8">
        <v>4310</v>
      </c>
    </row>
    <row r="207" spans="1:11" x14ac:dyDescent="0.35">
      <c r="A207">
        <v>206</v>
      </c>
      <c r="B207" t="s">
        <v>172</v>
      </c>
      <c r="C207">
        <v>2022</v>
      </c>
      <c r="D207" t="s">
        <v>166</v>
      </c>
      <c r="E207" s="2">
        <v>0</v>
      </c>
      <c r="F207" s="2">
        <v>3</v>
      </c>
      <c r="G207" s="2">
        <v>0</v>
      </c>
      <c r="H207" s="2">
        <v>0.08</v>
      </c>
      <c r="I207" s="9">
        <f t="shared" si="3"/>
        <v>-1800</v>
      </c>
      <c r="J207" s="9">
        <v>0</v>
      </c>
      <c r="K207" s="8">
        <v>1800</v>
      </c>
    </row>
    <row r="208" spans="1:11" x14ac:dyDescent="0.35">
      <c r="A208">
        <v>207</v>
      </c>
      <c r="B208" t="s">
        <v>61</v>
      </c>
      <c r="C208">
        <v>2022</v>
      </c>
      <c r="D208" t="s">
        <v>8</v>
      </c>
      <c r="E208" s="2">
        <v>44</v>
      </c>
      <c r="F208" s="2">
        <v>18</v>
      </c>
      <c r="G208" s="2">
        <v>3.3</v>
      </c>
      <c r="H208" s="2">
        <v>0.5</v>
      </c>
      <c r="I208" s="9">
        <f t="shared" si="3"/>
        <v>7692290</v>
      </c>
      <c r="J208" s="9">
        <v>7763000</v>
      </c>
      <c r="K208" s="8">
        <v>70710</v>
      </c>
    </row>
    <row r="209" spans="1:11" x14ac:dyDescent="0.35">
      <c r="A209">
        <v>208</v>
      </c>
      <c r="B209" t="s">
        <v>62</v>
      </c>
      <c r="C209">
        <v>2022</v>
      </c>
      <c r="D209" t="s">
        <v>166</v>
      </c>
      <c r="E209" s="2">
        <v>0</v>
      </c>
      <c r="F209" s="2">
        <v>1</v>
      </c>
      <c r="G209" s="2">
        <v>0</v>
      </c>
      <c r="H209" s="2">
        <v>0.03</v>
      </c>
      <c r="I209" s="9">
        <f t="shared" si="3"/>
        <v>-333000</v>
      </c>
      <c r="J209" s="9">
        <v>0</v>
      </c>
      <c r="K209" s="8">
        <v>333000</v>
      </c>
    </row>
    <row r="210" spans="1:11" x14ac:dyDescent="0.35">
      <c r="A210">
        <v>209</v>
      </c>
      <c r="B210" t="s">
        <v>64</v>
      </c>
      <c r="C210">
        <v>2022</v>
      </c>
      <c r="D210" t="s">
        <v>8</v>
      </c>
      <c r="E210" s="2">
        <v>237</v>
      </c>
      <c r="F210" s="2">
        <v>180</v>
      </c>
      <c r="G210" s="2">
        <v>17.79</v>
      </c>
      <c r="H210" s="2">
        <v>5.03</v>
      </c>
      <c r="I210" s="9">
        <f t="shared" si="3"/>
        <v>112700450</v>
      </c>
      <c r="J210" s="9">
        <v>118901860</v>
      </c>
      <c r="K210" s="8">
        <v>6201410</v>
      </c>
    </row>
    <row r="211" spans="1:11" x14ac:dyDescent="0.35">
      <c r="A211">
        <v>210</v>
      </c>
      <c r="B211" t="s">
        <v>65</v>
      </c>
      <c r="C211">
        <v>2022</v>
      </c>
      <c r="D211" t="s">
        <v>166</v>
      </c>
      <c r="E211" s="2">
        <v>0</v>
      </c>
      <c r="F211" s="2">
        <v>1</v>
      </c>
      <c r="G211" s="2">
        <v>0</v>
      </c>
      <c r="H211" s="2">
        <v>0.03</v>
      </c>
      <c r="I211" s="9">
        <f t="shared" si="3"/>
        <v>-140</v>
      </c>
      <c r="J211" s="9">
        <v>0</v>
      </c>
      <c r="K211" s="8">
        <v>140</v>
      </c>
    </row>
    <row r="212" spans="1:11" x14ac:dyDescent="0.35">
      <c r="A212">
        <v>211</v>
      </c>
      <c r="B212" t="s">
        <v>66</v>
      </c>
      <c r="C212">
        <v>2022</v>
      </c>
      <c r="D212" t="s">
        <v>8</v>
      </c>
      <c r="E212" s="2">
        <v>85</v>
      </c>
      <c r="F212" s="2">
        <v>4</v>
      </c>
      <c r="G212" s="2">
        <v>6.38</v>
      </c>
      <c r="H212" s="2">
        <v>0.11</v>
      </c>
      <c r="I212" s="9">
        <f t="shared" si="3"/>
        <v>6686290</v>
      </c>
      <c r="J212" s="9">
        <v>6692220</v>
      </c>
      <c r="K212" s="8">
        <v>5930</v>
      </c>
    </row>
    <row r="213" spans="1:11" x14ac:dyDescent="0.35">
      <c r="A213">
        <v>212</v>
      </c>
      <c r="B213" t="s">
        <v>67</v>
      </c>
      <c r="C213">
        <v>2022</v>
      </c>
      <c r="D213" t="s">
        <v>166</v>
      </c>
      <c r="E213" s="2">
        <v>0</v>
      </c>
      <c r="F213" s="2">
        <v>1</v>
      </c>
      <c r="G213" s="2">
        <v>0</v>
      </c>
      <c r="H213" s="2">
        <v>0.03</v>
      </c>
      <c r="I213" s="9">
        <f t="shared" si="3"/>
        <v>-20</v>
      </c>
      <c r="J213" s="9">
        <v>0</v>
      </c>
      <c r="K213" s="8">
        <v>20</v>
      </c>
    </row>
    <row r="214" spans="1:11" x14ac:dyDescent="0.35">
      <c r="A214">
        <v>213</v>
      </c>
      <c r="B214" t="s">
        <v>68</v>
      </c>
      <c r="C214">
        <v>2022</v>
      </c>
      <c r="D214" t="s">
        <v>8</v>
      </c>
      <c r="E214" s="2">
        <v>17</v>
      </c>
      <c r="F214" s="2">
        <v>121</v>
      </c>
      <c r="G214" s="2">
        <v>1.28</v>
      </c>
      <c r="H214" s="2">
        <v>3.38</v>
      </c>
      <c r="I214" s="9">
        <f t="shared" si="3"/>
        <v>1021590</v>
      </c>
      <c r="J214" s="9">
        <v>2972880</v>
      </c>
      <c r="K214" s="8">
        <v>1951290</v>
      </c>
    </row>
    <row r="215" spans="1:11" x14ac:dyDescent="0.35">
      <c r="A215">
        <v>214</v>
      </c>
      <c r="B215" t="s">
        <v>69</v>
      </c>
      <c r="C215">
        <v>2022</v>
      </c>
      <c r="D215" t="s">
        <v>8</v>
      </c>
      <c r="E215" s="2">
        <v>193</v>
      </c>
      <c r="F215" s="2">
        <v>610</v>
      </c>
      <c r="G215" s="2">
        <v>14.49</v>
      </c>
      <c r="H215" s="2">
        <v>17.03</v>
      </c>
      <c r="I215" s="9">
        <f t="shared" si="3"/>
        <v>-944071800</v>
      </c>
      <c r="J215" s="9">
        <v>93670160</v>
      </c>
      <c r="K215" s="8">
        <v>1037741960</v>
      </c>
    </row>
    <row r="216" spans="1:11" x14ac:dyDescent="0.35">
      <c r="A216">
        <v>215</v>
      </c>
      <c r="B216" t="s">
        <v>70</v>
      </c>
      <c r="C216">
        <v>2022</v>
      </c>
      <c r="D216" t="s">
        <v>8</v>
      </c>
      <c r="E216" s="2">
        <v>300</v>
      </c>
      <c r="F216" s="2">
        <v>1383</v>
      </c>
      <c r="G216" s="2">
        <v>22.52</v>
      </c>
      <c r="H216" s="2">
        <v>38.61</v>
      </c>
      <c r="I216" s="9">
        <f t="shared" si="3"/>
        <v>337736820</v>
      </c>
      <c r="J216" s="9">
        <v>900070200</v>
      </c>
      <c r="K216" s="8">
        <v>562333380</v>
      </c>
    </row>
    <row r="217" spans="1:11" x14ac:dyDescent="0.35">
      <c r="A217">
        <v>216</v>
      </c>
      <c r="B217" t="s">
        <v>71</v>
      </c>
      <c r="C217">
        <v>2022</v>
      </c>
      <c r="D217" t="s">
        <v>8</v>
      </c>
      <c r="E217" s="2">
        <v>101</v>
      </c>
      <c r="F217" s="2">
        <v>61</v>
      </c>
      <c r="G217" s="2">
        <v>7.58</v>
      </c>
      <c r="H217" s="2">
        <v>1.7</v>
      </c>
      <c r="I217" s="9">
        <f t="shared" si="3"/>
        <v>44382130</v>
      </c>
      <c r="J217" s="9">
        <v>55520850</v>
      </c>
      <c r="K217" s="8">
        <v>11138720</v>
      </c>
    </row>
    <row r="218" spans="1:11" x14ac:dyDescent="0.35">
      <c r="A218">
        <v>217</v>
      </c>
      <c r="B218" t="s">
        <v>72</v>
      </c>
      <c r="C218">
        <v>2022</v>
      </c>
      <c r="D218" t="s">
        <v>8</v>
      </c>
      <c r="E218" s="2">
        <v>4</v>
      </c>
      <c r="F218" s="2">
        <v>10</v>
      </c>
      <c r="G218" s="2">
        <v>0.3</v>
      </c>
      <c r="H218" s="2">
        <v>0.28000000000000003</v>
      </c>
      <c r="I218" s="9">
        <f t="shared" si="3"/>
        <v>-11421230</v>
      </c>
      <c r="J218" s="9">
        <v>817560</v>
      </c>
      <c r="K218" s="8">
        <v>12238790</v>
      </c>
    </row>
    <row r="219" spans="1:11" x14ac:dyDescent="0.35">
      <c r="A219">
        <v>218</v>
      </c>
      <c r="B219" t="s">
        <v>173</v>
      </c>
      <c r="C219">
        <v>2022</v>
      </c>
      <c r="D219" t="s">
        <v>8</v>
      </c>
      <c r="E219" s="2">
        <v>4</v>
      </c>
      <c r="F219" s="2">
        <v>1</v>
      </c>
      <c r="G219" s="2">
        <v>0.3</v>
      </c>
      <c r="H219" s="2">
        <v>0.03</v>
      </c>
      <c r="I219" s="9">
        <f t="shared" si="3"/>
        <v>2714260</v>
      </c>
      <c r="J219" s="9">
        <v>2733700</v>
      </c>
      <c r="K219" s="8">
        <v>19440</v>
      </c>
    </row>
    <row r="220" spans="1:11" x14ac:dyDescent="0.35">
      <c r="A220">
        <v>219</v>
      </c>
      <c r="B220" t="s">
        <v>73</v>
      </c>
      <c r="C220">
        <v>2022</v>
      </c>
      <c r="D220" t="s">
        <v>8</v>
      </c>
      <c r="E220" s="2">
        <v>2</v>
      </c>
      <c r="F220" s="2">
        <v>2</v>
      </c>
      <c r="G220" s="2">
        <v>0.15</v>
      </c>
      <c r="H220" s="2">
        <v>0.06</v>
      </c>
      <c r="I220" s="9">
        <f t="shared" si="3"/>
        <v>-344240</v>
      </c>
      <c r="J220" s="9">
        <v>79750</v>
      </c>
      <c r="K220" s="8">
        <v>423990</v>
      </c>
    </row>
    <row r="221" spans="1:11" x14ac:dyDescent="0.35">
      <c r="A221">
        <v>220</v>
      </c>
      <c r="B221" t="s">
        <v>74</v>
      </c>
      <c r="C221">
        <v>2022</v>
      </c>
      <c r="D221" t="s">
        <v>8</v>
      </c>
      <c r="E221" s="2">
        <v>103</v>
      </c>
      <c r="F221" s="2">
        <v>39</v>
      </c>
      <c r="G221" s="2">
        <v>7.73</v>
      </c>
      <c r="H221" s="2">
        <v>1.0900000000000001</v>
      </c>
      <c r="I221" s="9">
        <f t="shared" si="3"/>
        <v>12509190</v>
      </c>
      <c r="J221" s="9">
        <v>15215840</v>
      </c>
      <c r="K221" s="8">
        <v>2706650</v>
      </c>
    </row>
    <row r="222" spans="1:11" x14ac:dyDescent="0.35">
      <c r="A222">
        <v>221</v>
      </c>
      <c r="B222" t="s">
        <v>75</v>
      </c>
      <c r="C222">
        <v>2022</v>
      </c>
      <c r="D222" t="s">
        <v>8</v>
      </c>
      <c r="E222" s="2">
        <v>214</v>
      </c>
      <c r="F222" s="2">
        <v>649</v>
      </c>
      <c r="G222" s="2">
        <v>16.07</v>
      </c>
      <c r="H222" s="2">
        <v>18.12</v>
      </c>
      <c r="I222" s="9">
        <f t="shared" si="3"/>
        <v>264670960</v>
      </c>
      <c r="J222" s="9">
        <v>308893320</v>
      </c>
      <c r="K222" s="8">
        <v>44222360</v>
      </c>
    </row>
    <row r="223" spans="1:11" x14ac:dyDescent="0.35">
      <c r="A223">
        <v>222</v>
      </c>
      <c r="B223" t="s">
        <v>76</v>
      </c>
      <c r="C223">
        <v>2022</v>
      </c>
      <c r="D223" t="s">
        <v>166</v>
      </c>
      <c r="E223" s="2">
        <v>0</v>
      </c>
      <c r="F223" s="2">
        <v>1</v>
      </c>
      <c r="G223" s="2">
        <v>0</v>
      </c>
      <c r="H223" s="2">
        <v>0.03</v>
      </c>
      <c r="I223" s="9">
        <f t="shared" si="3"/>
        <v>-160</v>
      </c>
      <c r="J223" s="9">
        <v>0</v>
      </c>
      <c r="K223" s="8">
        <v>160</v>
      </c>
    </row>
    <row r="224" spans="1:11" x14ac:dyDescent="0.35">
      <c r="A224">
        <v>223</v>
      </c>
      <c r="B224" t="s">
        <v>77</v>
      </c>
      <c r="C224">
        <v>2022</v>
      </c>
      <c r="D224" t="s">
        <v>8</v>
      </c>
      <c r="E224" s="2">
        <v>20</v>
      </c>
      <c r="F224" s="2">
        <v>14</v>
      </c>
      <c r="G224" s="2">
        <v>1.5</v>
      </c>
      <c r="H224" s="2">
        <v>0.39</v>
      </c>
      <c r="I224" s="9">
        <f t="shared" si="3"/>
        <v>-2476790</v>
      </c>
      <c r="J224" s="9">
        <v>713870</v>
      </c>
      <c r="K224" s="8">
        <v>3190660</v>
      </c>
    </row>
    <row r="225" spans="1:11" x14ac:dyDescent="0.35">
      <c r="A225">
        <v>224</v>
      </c>
      <c r="B225" t="s">
        <v>78</v>
      </c>
      <c r="C225">
        <v>2022</v>
      </c>
      <c r="D225" t="s">
        <v>8</v>
      </c>
      <c r="E225" s="2">
        <v>450</v>
      </c>
      <c r="F225" s="2">
        <v>1368</v>
      </c>
      <c r="G225" s="2">
        <v>33.78</v>
      </c>
      <c r="H225" s="2">
        <v>38.19</v>
      </c>
      <c r="I225" s="9">
        <f t="shared" si="3"/>
        <v>935023630</v>
      </c>
      <c r="J225" s="9">
        <v>1211864880</v>
      </c>
      <c r="K225" s="8">
        <v>276841250</v>
      </c>
    </row>
    <row r="226" spans="1:11" x14ac:dyDescent="0.35">
      <c r="A226">
        <v>225</v>
      </c>
      <c r="B226" t="s">
        <v>174</v>
      </c>
      <c r="C226">
        <v>2022</v>
      </c>
      <c r="D226" t="s">
        <v>8</v>
      </c>
      <c r="E226" s="2">
        <v>6</v>
      </c>
      <c r="F226" s="2">
        <v>2</v>
      </c>
      <c r="G226" s="2">
        <v>0.45</v>
      </c>
      <c r="H226" s="2">
        <v>0.06</v>
      </c>
      <c r="I226" s="9">
        <f t="shared" si="3"/>
        <v>30420</v>
      </c>
      <c r="J226" s="9">
        <v>51520</v>
      </c>
      <c r="K226" s="8">
        <v>21100</v>
      </c>
    </row>
    <row r="227" spans="1:11" x14ac:dyDescent="0.35">
      <c r="A227">
        <v>226</v>
      </c>
      <c r="B227" t="s">
        <v>79</v>
      </c>
      <c r="C227">
        <v>2022</v>
      </c>
      <c r="D227" t="s">
        <v>8</v>
      </c>
      <c r="E227" s="2">
        <v>17</v>
      </c>
      <c r="F227" s="2">
        <v>10</v>
      </c>
      <c r="G227" s="2">
        <v>1.28</v>
      </c>
      <c r="H227" s="2">
        <v>0.28000000000000003</v>
      </c>
      <c r="I227" s="9">
        <f t="shared" si="3"/>
        <v>-172070</v>
      </c>
      <c r="J227" s="9">
        <v>71620</v>
      </c>
      <c r="K227" s="8">
        <v>243690</v>
      </c>
    </row>
    <row r="228" spans="1:11" x14ac:dyDescent="0.35">
      <c r="A228">
        <v>227</v>
      </c>
      <c r="B228" t="s">
        <v>80</v>
      </c>
      <c r="C228">
        <v>2022</v>
      </c>
      <c r="D228" t="s">
        <v>166</v>
      </c>
      <c r="E228" s="2">
        <v>0</v>
      </c>
      <c r="F228" s="2">
        <v>17</v>
      </c>
      <c r="G228" s="2">
        <v>0</v>
      </c>
      <c r="H228" s="2">
        <v>0.47</v>
      </c>
      <c r="I228" s="9">
        <f t="shared" si="3"/>
        <v>-50650</v>
      </c>
      <c r="J228" s="9">
        <v>0</v>
      </c>
      <c r="K228" s="8">
        <v>50650</v>
      </c>
    </row>
    <row r="229" spans="1:11" x14ac:dyDescent="0.35">
      <c r="A229">
        <v>228</v>
      </c>
      <c r="B229" t="s">
        <v>81</v>
      </c>
      <c r="C229">
        <v>2022</v>
      </c>
      <c r="D229" t="s">
        <v>8</v>
      </c>
      <c r="E229" s="2">
        <v>59</v>
      </c>
      <c r="F229" s="2">
        <v>57</v>
      </c>
      <c r="G229" s="2">
        <v>4.43</v>
      </c>
      <c r="H229" s="2">
        <v>1.59</v>
      </c>
      <c r="I229" s="9">
        <f t="shared" si="3"/>
        <v>7151180</v>
      </c>
      <c r="J229" s="9">
        <v>7940060</v>
      </c>
      <c r="K229" s="8">
        <v>788880</v>
      </c>
    </row>
    <row r="230" spans="1:11" x14ac:dyDescent="0.35">
      <c r="A230">
        <v>229</v>
      </c>
      <c r="B230" t="s">
        <v>82</v>
      </c>
      <c r="C230">
        <v>2022</v>
      </c>
      <c r="D230" t="s">
        <v>8</v>
      </c>
      <c r="E230" s="2">
        <v>320</v>
      </c>
      <c r="F230" s="2">
        <v>1046</v>
      </c>
      <c r="G230" s="2">
        <v>24.02</v>
      </c>
      <c r="H230" s="2">
        <v>29.2</v>
      </c>
      <c r="I230" s="9">
        <f t="shared" si="3"/>
        <v>66297800</v>
      </c>
      <c r="J230" s="9">
        <v>340135700</v>
      </c>
      <c r="K230" s="8">
        <v>273837900</v>
      </c>
    </row>
    <row r="231" spans="1:11" x14ac:dyDescent="0.35">
      <c r="A231">
        <v>230</v>
      </c>
      <c r="B231" t="s">
        <v>83</v>
      </c>
      <c r="C231">
        <v>2022</v>
      </c>
      <c r="D231" t="s">
        <v>8</v>
      </c>
      <c r="E231" s="2">
        <v>11</v>
      </c>
      <c r="F231" s="2">
        <v>6</v>
      </c>
      <c r="G231" s="2">
        <v>0.83</v>
      </c>
      <c r="H231" s="2">
        <v>0.17</v>
      </c>
      <c r="I231" s="9">
        <f t="shared" si="3"/>
        <v>4280530</v>
      </c>
      <c r="J231" s="9">
        <v>4286310</v>
      </c>
      <c r="K231" s="8">
        <v>5780</v>
      </c>
    </row>
    <row r="232" spans="1:11" x14ac:dyDescent="0.35">
      <c r="A232">
        <v>231</v>
      </c>
      <c r="B232" t="s">
        <v>84</v>
      </c>
      <c r="C232">
        <v>2022</v>
      </c>
      <c r="D232" t="s">
        <v>8</v>
      </c>
      <c r="E232" s="2">
        <v>3</v>
      </c>
      <c r="F232" s="2">
        <v>32</v>
      </c>
      <c r="G232" s="2">
        <v>0.23</v>
      </c>
      <c r="H232" s="2">
        <v>0.89</v>
      </c>
      <c r="I232" s="9">
        <f t="shared" si="3"/>
        <v>-891400</v>
      </c>
      <c r="J232" s="9">
        <v>51090</v>
      </c>
      <c r="K232" s="8">
        <v>942490</v>
      </c>
    </row>
    <row r="233" spans="1:11" x14ac:dyDescent="0.35">
      <c r="A233">
        <v>232</v>
      </c>
      <c r="B233" t="s">
        <v>85</v>
      </c>
      <c r="C233">
        <v>2022</v>
      </c>
      <c r="D233" t="s">
        <v>8</v>
      </c>
      <c r="E233" s="2">
        <v>10</v>
      </c>
      <c r="F233" s="2">
        <v>4</v>
      </c>
      <c r="G233" s="2">
        <v>0.75</v>
      </c>
      <c r="H233" s="2">
        <v>0.11</v>
      </c>
      <c r="I233" s="9">
        <f t="shared" si="3"/>
        <v>-1891100</v>
      </c>
      <c r="J233" s="9">
        <v>483660</v>
      </c>
      <c r="K233" s="8">
        <v>2374760</v>
      </c>
    </row>
    <row r="234" spans="1:11" x14ac:dyDescent="0.35">
      <c r="A234">
        <v>233</v>
      </c>
      <c r="B234" t="s">
        <v>87</v>
      </c>
      <c r="C234">
        <v>2022</v>
      </c>
      <c r="D234" t="s">
        <v>8</v>
      </c>
      <c r="E234" s="2">
        <v>25</v>
      </c>
      <c r="F234" s="2">
        <v>92</v>
      </c>
      <c r="G234" s="2">
        <v>1.88</v>
      </c>
      <c r="H234" s="2">
        <v>2.57</v>
      </c>
      <c r="I234" s="9">
        <f t="shared" si="3"/>
        <v>2802330</v>
      </c>
      <c r="J234" s="9">
        <v>4284300</v>
      </c>
      <c r="K234" s="8">
        <v>1481970</v>
      </c>
    </row>
    <row r="235" spans="1:11" x14ac:dyDescent="0.35">
      <c r="A235">
        <v>234</v>
      </c>
      <c r="B235" t="s">
        <v>88</v>
      </c>
      <c r="C235">
        <v>2022</v>
      </c>
      <c r="D235" t="s">
        <v>8</v>
      </c>
      <c r="E235" s="2">
        <v>11</v>
      </c>
      <c r="F235" s="2">
        <v>50</v>
      </c>
      <c r="G235" s="2">
        <v>0.83</v>
      </c>
      <c r="H235" s="2">
        <v>1.4</v>
      </c>
      <c r="I235" s="9">
        <f t="shared" si="3"/>
        <v>5437410</v>
      </c>
      <c r="J235" s="9">
        <v>7461030</v>
      </c>
      <c r="K235" s="8">
        <v>2023620</v>
      </c>
    </row>
    <row r="236" spans="1:11" x14ac:dyDescent="0.35">
      <c r="A236">
        <v>235</v>
      </c>
      <c r="B236" t="s">
        <v>89</v>
      </c>
      <c r="C236">
        <v>2022</v>
      </c>
      <c r="D236" t="s">
        <v>8</v>
      </c>
      <c r="E236" s="2">
        <v>1</v>
      </c>
      <c r="F236" s="2">
        <v>13</v>
      </c>
      <c r="G236" s="2">
        <v>0.08</v>
      </c>
      <c r="H236" s="2">
        <v>0.36</v>
      </c>
      <c r="I236" s="9">
        <f t="shared" si="3"/>
        <v>-314750</v>
      </c>
      <c r="J236" s="9">
        <v>700</v>
      </c>
      <c r="K236" s="8">
        <v>315450</v>
      </c>
    </row>
    <row r="237" spans="1:11" x14ac:dyDescent="0.35">
      <c r="A237">
        <v>236</v>
      </c>
      <c r="B237" t="s">
        <v>90</v>
      </c>
      <c r="C237">
        <v>2022</v>
      </c>
      <c r="D237" t="s">
        <v>8</v>
      </c>
      <c r="E237" s="2">
        <v>5</v>
      </c>
      <c r="F237" s="2">
        <v>10</v>
      </c>
      <c r="G237" s="2">
        <v>0.38</v>
      </c>
      <c r="H237" s="2">
        <v>0.28000000000000003</v>
      </c>
      <c r="I237" s="9">
        <f t="shared" si="3"/>
        <v>583400</v>
      </c>
      <c r="J237" s="9">
        <v>668980</v>
      </c>
      <c r="K237" s="8">
        <v>85580</v>
      </c>
    </row>
    <row r="238" spans="1:11" x14ac:dyDescent="0.35">
      <c r="A238">
        <v>237</v>
      </c>
      <c r="B238" t="s">
        <v>91</v>
      </c>
      <c r="C238">
        <v>2022</v>
      </c>
      <c r="D238" t="s">
        <v>8</v>
      </c>
      <c r="E238" s="2">
        <v>4</v>
      </c>
      <c r="F238" s="2">
        <v>2</v>
      </c>
      <c r="G238" s="2">
        <v>0.3</v>
      </c>
      <c r="H238" s="2">
        <v>0.06</v>
      </c>
      <c r="I238" s="9">
        <f t="shared" si="3"/>
        <v>-373800</v>
      </c>
      <c r="J238" s="9">
        <v>15490</v>
      </c>
      <c r="K238" s="8">
        <v>389290</v>
      </c>
    </row>
    <row r="239" spans="1:11" x14ac:dyDescent="0.35">
      <c r="A239">
        <v>238</v>
      </c>
      <c r="B239" t="s">
        <v>92</v>
      </c>
      <c r="C239">
        <v>2022</v>
      </c>
      <c r="D239" t="s">
        <v>8</v>
      </c>
      <c r="E239" s="2">
        <v>35</v>
      </c>
      <c r="F239" s="2">
        <v>17</v>
      </c>
      <c r="G239" s="2">
        <v>2.63</v>
      </c>
      <c r="H239" s="2">
        <v>0.47</v>
      </c>
      <c r="I239" s="9">
        <f t="shared" si="3"/>
        <v>1897420</v>
      </c>
      <c r="J239" s="9">
        <v>1942630</v>
      </c>
      <c r="K239" s="8">
        <v>45210</v>
      </c>
    </row>
    <row r="240" spans="1:11" x14ac:dyDescent="0.35">
      <c r="A240">
        <v>239</v>
      </c>
      <c r="B240" t="s">
        <v>93</v>
      </c>
      <c r="C240">
        <v>2022</v>
      </c>
      <c r="D240" t="s">
        <v>166</v>
      </c>
      <c r="E240" s="2">
        <v>0</v>
      </c>
      <c r="F240" s="2">
        <v>3</v>
      </c>
      <c r="G240" s="2">
        <v>0</v>
      </c>
      <c r="H240" s="2">
        <v>0.08</v>
      </c>
      <c r="I240" s="9">
        <f t="shared" si="3"/>
        <v>-1769140</v>
      </c>
      <c r="J240" s="9">
        <v>0</v>
      </c>
      <c r="K240" s="8">
        <v>1769140</v>
      </c>
    </row>
    <row r="241" spans="1:11" x14ac:dyDescent="0.35">
      <c r="A241">
        <v>240</v>
      </c>
      <c r="B241" t="s">
        <v>94</v>
      </c>
      <c r="C241">
        <v>2022</v>
      </c>
      <c r="D241" t="s">
        <v>8</v>
      </c>
      <c r="E241" s="2">
        <v>33</v>
      </c>
      <c r="F241" s="2">
        <v>1</v>
      </c>
      <c r="G241" s="2">
        <v>2.48</v>
      </c>
      <c r="H241" s="2">
        <v>0.03</v>
      </c>
      <c r="I241" s="9">
        <f t="shared" si="3"/>
        <v>6488030</v>
      </c>
      <c r="J241" s="9">
        <v>6488100</v>
      </c>
      <c r="K241" s="8">
        <v>70</v>
      </c>
    </row>
    <row r="242" spans="1:11" x14ac:dyDescent="0.35">
      <c r="A242">
        <v>241</v>
      </c>
      <c r="B242" t="s">
        <v>95</v>
      </c>
      <c r="C242">
        <v>2022</v>
      </c>
      <c r="D242" t="s">
        <v>8</v>
      </c>
      <c r="E242" s="2">
        <v>132</v>
      </c>
      <c r="F242" s="2">
        <v>136</v>
      </c>
      <c r="G242" s="2">
        <v>9.91</v>
      </c>
      <c r="H242" s="2">
        <v>3.8</v>
      </c>
      <c r="I242" s="9">
        <f t="shared" si="3"/>
        <v>41785150</v>
      </c>
      <c r="J242" s="9">
        <v>44736660</v>
      </c>
      <c r="K242" s="8">
        <v>2951510</v>
      </c>
    </row>
    <row r="243" spans="1:11" x14ac:dyDescent="0.35">
      <c r="A243">
        <v>242</v>
      </c>
      <c r="B243" t="s">
        <v>96</v>
      </c>
      <c r="C243">
        <v>2022</v>
      </c>
      <c r="D243" t="s">
        <v>166</v>
      </c>
      <c r="E243" s="2">
        <v>0</v>
      </c>
      <c r="F243" s="2">
        <v>2</v>
      </c>
      <c r="G243" s="2">
        <v>0</v>
      </c>
      <c r="H243" s="2">
        <v>0.06</v>
      </c>
      <c r="I243" s="9">
        <f t="shared" si="3"/>
        <v>-520</v>
      </c>
      <c r="J243" s="9">
        <v>0</v>
      </c>
      <c r="K243" s="8">
        <v>520</v>
      </c>
    </row>
    <row r="244" spans="1:11" x14ac:dyDescent="0.35">
      <c r="A244">
        <v>243</v>
      </c>
      <c r="B244" t="s">
        <v>97</v>
      </c>
      <c r="C244">
        <v>2022</v>
      </c>
      <c r="D244" t="s">
        <v>8</v>
      </c>
      <c r="E244" s="2">
        <v>1</v>
      </c>
      <c r="F244" s="2">
        <v>1</v>
      </c>
      <c r="G244" s="2">
        <v>0.08</v>
      </c>
      <c r="H244" s="2">
        <v>0.03</v>
      </c>
      <c r="I244" s="9">
        <f t="shared" si="3"/>
        <v>1066350</v>
      </c>
      <c r="J244" s="9">
        <v>2357000</v>
      </c>
      <c r="K244" s="8">
        <v>1290650</v>
      </c>
    </row>
    <row r="245" spans="1:11" x14ac:dyDescent="0.35">
      <c r="A245">
        <v>244</v>
      </c>
      <c r="B245" t="s">
        <v>98</v>
      </c>
      <c r="C245">
        <v>2022</v>
      </c>
      <c r="D245" t="s">
        <v>8</v>
      </c>
      <c r="E245" s="2">
        <v>4</v>
      </c>
      <c r="F245" s="2">
        <v>6</v>
      </c>
      <c r="G245" s="2">
        <v>0.3</v>
      </c>
      <c r="H245" s="2">
        <v>0.17</v>
      </c>
      <c r="I245" s="9">
        <f t="shared" si="3"/>
        <v>85560</v>
      </c>
      <c r="J245" s="9">
        <v>95090</v>
      </c>
      <c r="K245" s="8">
        <v>9530</v>
      </c>
    </row>
    <row r="246" spans="1:11" x14ac:dyDescent="0.35">
      <c r="A246">
        <v>245</v>
      </c>
      <c r="B246" t="s">
        <v>103</v>
      </c>
      <c r="C246">
        <v>2022</v>
      </c>
      <c r="D246" t="s">
        <v>8</v>
      </c>
      <c r="E246" s="2">
        <v>16</v>
      </c>
      <c r="F246" s="2">
        <v>3</v>
      </c>
      <c r="G246" s="2">
        <v>1.2</v>
      </c>
      <c r="H246" s="2">
        <v>0.08</v>
      </c>
      <c r="I246" s="9">
        <f t="shared" si="3"/>
        <v>270440</v>
      </c>
      <c r="J246" s="9">
        <v>278580</v>
      </c>
      <c r="K246" s="8">
        <v>8140.0000000000009</v>
      </c>
    </row>
    <row r="247" spans="1:11" x14ac:dyDescent="0.35">
      <c r="A247">
        <v>246</v>
      </c>
      <c r="B247" t="s">
        <v>104</v>
      </c>
      <c r="C247">
        <v>2022</v>
      </c>
      <c r="D247" t="s">
        <v>8</v>
      </c>
      <c r="E247" s="2">
        <v>321</v>
      </c>
      <c r="F247" s="2">
        <v>850</v>
      </c>
      <c r="G247" s="2">
        <v>24.1</v>
      </c>
      <c r="H247" s="2">
        <v>23.73</v>
      </c>
      <c r="I247" s="9">
        <f t="shared" si="3"/>
        <v>-841361260</v>
      </c>
      <c r="J247" s="9">
        <v>298915180</v>
      </c>
      <c r="K247" s="8">
        <v>1140276440</v>
      </c>
    </row>
    <row r="248" spans="1:11" x14ac:dyDescent="0.35">
      <c r="A248">
        <v>247</v>
      </c>
      <c r="B248" t="s">
        <v>105</v>
      </c>
      <c r="C248">
        <v>2022</v>
      </c>
      <c r="D248" t="s">
        <v>166</v>
      </c>
      <c r="E248" s="2">
        <v>0</v>
      </c>
      <c r="F248" s="2">
        <v>1</v>
      </c>
      <c r="G248" s="2">
        <v>0</v>
      </c>
      <c r="H248" s="2">
        <v>0.03</v>
      </c>
      <c r="I248" s="9">
        <f t="shared" si="3"/>
        <v>-85020</v>
      </c>
      <c r="J248" s="9">
        <v>0</v>
      </c>
      <c r="K248" s="8">
        <v>85020</v>
      </c>
    </row>
    <row r="249" spans="1:11" x14ac:dyDescent="0.35">
      <c r="A249">
        <v>248</v>
      </c>
      <c r="B249" t="s">
        <v>106</v>
      </c>
      <c r="C249">
        <v>2022</v>
      </c>
      <c r="D249" t="s">
        <v>166</v>
      </c>
      <c r="E249" s="2">
        <v>0</v>
      </c>
      <c r="F249" s="2">
        <v>9</v>
      </c>
      <c r="G249" s="2">
        <v>0</v>
      </c>
      <c r="H249" s="2">
        <v>0.25</v>
      </c>
      <c r="I249" s="9">
        <f t="shared" si="3"/>
        <v>-2700</v>
      </c>
      <c r="J249" s="9">
        <v>0</v>
      </c>
      <c r="K249" s="8">
        <v>2700</v>
      </c>
    </row>
    <row r="250" spans="1:11" x14ac:dyDescent="0.35">
      <c r="A250">
        <v>249</v>
      </c>
      <c r="B250" t="s">
        <v>108</v>
      </c>
      <c r="C250">
        <v>2022</v>
      </c>
      <c r="D250" t="s">
        <v>8</v>
      </c>
      <c r="E250" s="2">
        <v>2</v>
      </c>
      <c r="F250" s="2">
        <v>4</v>
      </c>
      <c r="G250" s="2">
        <v>0.15</v>
      </c>
      <c r="H250" s="2">
        <v>0.11</v>
      </c>
      <c r="I250" s="9">
        <f t="shared" si="3"/>
        <v>-22096820</v>
      </c>
      <c r="J250" s="9">
        <v>277370</v>
      </c>
      <c r="K250" s="8">
        <v>22374190</v>
      </c>
    </row>
    <row r="251" spans="1:11" x14ac:dyDescent="0.35">
      <c r="A251">
        <v>250</v>
      </c>
      <c r="B251" t="s">
        <v>109</v>
      </c>
      <c r="C251">
        <v>2022</v>
      </c>
      <c r="D251" t="s">
        <v>166</v>
      </c>
      <c r="E251" s="2">
        <v>0</v>
      </c>
      <c r="F251" s="2">
        <v>2</v>
      </c>
      <c r="G251" s="2">
        <v>0</v>
      </c>
      <c r="H251" s="2">
        <v>0.06</v>
      </c>
      <c r="I251" s="9">
        <f t="shared" si="3"/>
        <v>-940</v>
      </c>
      <c r="J251" s="9">
        <v>0</v>
      </c>
      <c r="K251" s="8">
        <v>940</v>
      </c>
    </row>
    <row r="252" spans="1:11" x14ac:dyDescent="0.35">
      <c r="A252">
        <v>251</v>
      </c>
      <c r="B252" t="s">
        <v>110</v>
      </c>
      <c r="C252">
        <v>2022</v>
      </c>
      <c r="D252" t="s">
        <v>8</v>
      </c>
      <c r="E252" s="2">
        <v>236</v>
      </c>
      <c r="F252" s="2">
        <v>163</v>
      </c>
      <c r="G252" s="2">
        <v>17.72</v>
      </c>
      <c r="H252" s="2">
        <v>4.55</v>
      </c>
      <c r="I252" s="9">
        <f t="shared" si="3"/>
        <v>513770980</v>
      </c>
      <c r="J252" s="9">
        <v>543392740</v>
      </c>
      <c r="K252" s="8">
        <v>29621760</v>
      </c>
    </row>
    <row r="253" spans="1:11" x14ac:dyDescent="0.35">
      <c r="A253">
        <v>252</v>
      </c>
      <c r="B253" t="s">
        <v>111</v>
      </c>
      <c r="C253">
        <v>2022</v>
      </c>
      <c r="D253" t="s">
        <v>8</v>
      </c>
      <c r="E253" s="2">
        <v>50</v>
      </c>
      <c r="F253" s="2">
        <v>49</v>
      </c>
      <c r="G253" s="2">
        <v>3.75</v>
      </c>
      <c r="H253" s="2">
        <v>1.37</v>
      </c>
      <c r="I253" s="9">
        <f t="shared" si="3"/>
        <v>-5071240</v>
      </c>
      <c r="J253" s="9">
        <v>5925650</v>
      </c>
      <c r="K253" s="8">
        <v>10996890</v>
      </c>
    </row>
    <row r="254" spans="1:11" x14ac:dyDescent="0.35">
      <c r="A254">
        <v>253</v>
      </c>
      <c r="B254" t="s">
        <v>112</v>
      </c>
      <c r="C254">
        <v>2022</v>
      </c>
      <c r="D254" t="s">
        <v>8</v>
      </c>
      <c r="E254" s="2">
        <v>10</v>
      </c>
      <c r="F254" s="2">
        <v>5</v>
      </c>
      <c r="G254" s="2">
        <v>0.75</v>
      </c>
      <c r="H254" s="2">
        <v>0.14000000000000001</v>
      </c>
      <c r="I254" s="9">
        <f t="shared" si="3"/>
        <v>1637730</v>
      </c>
      <c r="J254" s="9">
        <v>2606840</v>
      </c>
      <c r="K254" s="8">
        <v>969110</v>
      </c>
    </row>
    <row r="255" spans="1:11" x14ac:dyDescent="0.35">
      <c r="A255">
        <v>254</v>
      </c>
      <c r="B255" t="s">
        <v>113</v>
      </c>
      <c r="C255">
        <v>2022</v>
      </c>
      <c r="D255" t="s">
        <v>8</v>
      </c>
      <c r="E255" s="2">
        <v>114</v>
      </c>
      <c r="F255" s="2">
        <v>40</v>
      </c>
      <c r="G255" s="2">
        <v>8.56</v>
      </c>
      <c r="H255" s="2">
        <v>1.1200000000000001</v>
      </c>
      <c r="I255" s="9">
        <f t="shared" si="3"/>
        <v>-26855330</v>
      </c>
      <c r="J255" s="9">
        <v>4188660</v>
      </c>
      <c r="K255" s="8">
        <v>31043990</v>
      </c>
    </row>
    <row r="256" spans="1:11" x14ac:dyDescent="0.35">
      <c r="A256">
        <v>255</v>
      </c>
      <c r="B256" t="s">
        <v>114</v>
      </c>
      <c r="C256">
        <v>2022</v>
      </c>
      <c r="D256" t="s">
        <v>8</v>
      </c>
      <c r="E256" s="2">
        <v>9</v>
      </c>
      <c r="F256" s="2">
        <v>23</v>
      </c>
      <c r="G256" s="2">
        <v>0.68</v>
      </c>
      <c r="H256" s="2">
        <v>0.64</v>
      </c>
      <c r="I256" s="9">
        <f t="shared" si="3"/>
        <v>-78475270</v>
      </c>
      <c r="J256" s="9">
        <v>5492950</v>
      </c>
      <c r="K256" s="8">
        <v>83968220</v>
      </c>
    </row>
    <row r="257" spans="1:11" x14ac:dyDescent="0.35">
      <c r="A257">
        <v>256</v>
      </c>
      <c r="B257" t="s">
        <v>115</v>
      </c>
      <c r="C257">
        <v>2022</v>
      </c>
      <c r="D257" t="s">
        <v>8</v>
      </c>
      <c r="E257" s="2">
        <v>36</v>
      </c>
      <c r="F257" s="2">
        <v>92</v>
      </c>
      <c r="G257" s="2">
        <v>2.7</v>
      </c>
      <c r="H257" s="2">
        <v>2.57</v>
      </c>
      <c r="I257" s="9">
        <f t="shared" si="3"/>
        <v>43492720</v>
      </c>
      <c r="J257" s="9">
        <v>64404810</v>
      </c>
      <c r="K257" s="8">
        <v>20912090</v>
      </c>
    </row>
    <row r="258" spans="1:11" x14ac:dyDescent="0.35">
      <c r="A258">
        <v>257</v>
      </c>
      <c r="B258" t="s">
        <v>175</v>
      </c>
      <c r="C258">
        <v>2022</v>
      </c>
      <c r="D258" t="s">
        <v>8</v>
      </c>
      <c r="E258" s="2">
        <v>97</v>
      </c>
      <c r="F258" s="2">
        <v>2</v>
      </c>
      <c r="G258" s="2">
        <v>7.28</v>
      </c>
      <c r="H258" s="2">
        <v>0.06</v>
      </c>
      <c r="I258" s="9">
        <f t="shared" si="3"/>
        <v>4993920</v>
      </c>
      <c r="J258" s="9">
        <v>4997370</v>
      </c>
      <c r="K258" s="8">
        <v>3450</v>
      </c>
    </row>
    <row r="259" spans="1:11" x14ac:dyDescent="0.35">
      <c r="A259">
        <v>258</v>
      </c>
      <c r="B259" t="s">
        <v>116</v>
      </c>
      <c r="C259">
        <v>2022</v>
      </c>
      <c r="D259" t="s">
        <v>8</v>
      </c>
      <c r="E259" s="2">
        <v>93</v>
      </c>
      <c r="F259" s="2">
        <v>11</v>
      </c>
      <c r="G259" s="2">
        <v>6.98</v>
      </c>
      <c r="H259" s="2">
        <v>0.31</v>
      </c>
      <c r="I259" s="9">
        <f t="shared" ref="I259:I299" si="4">J259-K259</f>
        <v>8738540</v>
      </c>
      <c r="J259" s="9">
        <v>9034160</v>
      </c>
      <c r="K259" s="8">
        <v>295620</v>
      </c>
    </row>
    <row r="260" spans="1:11" x14ac:dyDescent="0.35">
      <c r="A260">
        <v>259</v>
      </c>
      <c r="B260" t="s">
        <v>117</v>
      </c>
      <c r="C260">
        <v>2022</v>
      </c>
      <c r="D260" t="s">
        <v>8</v>
      </c>
      <c r="E260" s="2">
        <v>150</v>
      </c>
      <c r="F260" s="2">
        <v>127</v>
      </c>
      <c r="G260" s="2">
        <v>11.26</v>
      </c>
      <c r="H260" s="2">
        <v>3.55</v>
      </c>
      <c r="I260" s="9">
        <f t="shared" si="4"/>
        <v>160035570</v>
      </c>
      <c r="J260" s="9">
        <v>198398560</v>
      </c>
      <c r="K260" s="8">
        <v>38362990</v>
      </c>
    </row>
    <row r="261" spans="1:11" x14ac:dyDescent="0.35">
      <c r="A261">
        <v>260</v>
      </c>
      <c r="B261" t="s">
        <v>176</v>
      </c>
      <c r="C261">
        <v>2022</v>
      </c>
      <c r="D261" t="s">
        <v>8</v>
      </c>
      <c r="E261" s="2">
        <v>4</v>
      </c>
      <c r="F261" s="2">
        <v>2</v>
      </c>
      <c r="G261" s="2">
        <v>0.3</v>
      </c>
      <c r="H261" s="2">
        <v>0.06</v>
      </c>
      <c r="I261" s="9">
        <f t="shared" si="4"/>
        <v>1323630</v>
      </c>
      <c r="J261" s="9">
        <v>1614630</v>
      </c>
      <c r="K261" s="8">
        <v>291000</v>
      </c>
    </row>
    <row r="262" spans="1:11" x14ac:dyDescent="0.35">
      <c r="A262">
        <v>261</v>
      </c>
      <c r="B262" t="s">
        <v>119</v>
      </c>
      <c r="C262">
        <v>2022</v>
      </c>
      <c r="D262" t="s">
        <v>8</v>
      </c>
      <c r="E262" s="2">
        <v>185</v>
      </c>
      <c r="F262" s="2">
        <v>163</v>
      </c>
      <c r="G262" s="2">
        <v>13.89</v>
      </c>
      <c r="H262" s="2">
        <v>4.55</v>
      </c>
      <c r="I262" s="9">
        <f t="shared" si="4"/>
        <v>465203760</v>
      </c>
      <c r="J262" s="9">
        <v>469703420</v>
      </c>
      <c r="K262" s="8">
        <v>4499660</v>
      </c>
    </row>
    <row r="263" spans="1:11" x14ac:dyDescent="0.35">
      <c r="A263">
        <v>262</v>
      </c>
      <c r="B263" t="s">
        <v>121</v>
      </c>
      <c r="C263">
        <v>2022</v>
      </c>
      <c r="D263" t="s">
        <v>8</v>
      </c>
      <c r="E263" s="2">
        <v>25</v>
      </c>
      <c r="F263" s="2">
        <v>54</v>
      </c>
      <c r="G263" s="2">
        <v>1.88</v>
      </c>
      <c r="H263" s="2">
        <v>1.51</v>
      </c>
      <c r="I263" s="9">
        <f t="shared" si="4"/>
        <v>7323130</v>
      </c>
      <c r="J263" s="9">
        <v>8403400</v>
      </c>
      <c r="K263" s="8">
        <v>1080270</v>
      </c>
    </row>
    <row r="264" spans="1:11" x14ac:dyDescent="0.35">
      <c r="A264">
        <v>263</v>
      </c>
      <c r="B264" t="s">
        <v>122</v>
      </c>
      <c r="C264">
        <v>2022</v>
      </c>
      <c r="D264" t="s">
        <v>8</v>
      </c>
      <c r="E264" s="2">
        <v>4</v>
      </c>
      <c r="F264" s="2">
        <v>2</v>
      </c>
      <c r="G264" s="2">
        <v>0.3</v>
      </c>
      <c r="H264" s="2">
        <v>0.06</v>
      </c>
      <c r="I264" s="9">
        <f t="shared" si="4"/>
        <v>-5874420</v>
      </c>
      <c r="J264" s="9">
        <v>272730</v>
      </c>
      <c r="K264" s="8">
        <v>6147150</v>
      </c>
    </row>
    <row r="265" spans="1:11" x14ac:dyDescent="0.35">
      <c r="A265">
        <v>264</v>
      </c>
      <c r="B265" t="s">
        <v>123</v>
      </c>
      <c r="C265">
        <v>2022</v>
      </c>
      <c r="D265" t="s">
        <v>8</v>
      </c>
      <c r="E265" s="2">
        <v>13</v>
      </c>
      <c r="F265" s="2">
        <v>11</v>
      </c>
      <c r="G265" s="2">
        <v>0.98</v>
      </c>
      <c r="H265" s="2">
        <v>0.31</v>
      </c>
      <c r="I265" s="9">
        <f t="shared" si="4"/>
        <v>7011420</v>
      </c>
      <c r="J265" s="9">
        <v>7042990</v>
      </c>
      <c r="K265" s="8">
        <v>31570</v>
      </c>
    </row>
    <row r="266" spans="1:11" x14ac:dyDescent="0.35">
      <c r="A266">
        <v>265</v>
      </c>
      <c r="B266" t="s">
        <v>124</v>
      </c>
      <c r="C266">
        <v>2022</v>
      </c>
      <c r="D266" t="s">
        <v>8</v>
      </c>
      <c r="E266" s="2">
        <v>36</v>
      </c>
      <c r="F266" s="2">
        <v>104</v>
      </c>
      <c r="G266" s="2">
        <v>2.7</v>
      </c>
      <c r="H266" s="2">
        <v>2.9</v>
      </c>
      <c r="I266" s="9">
        <f t="shared" si="4"/>
        <v>12033710</v>
      </c>
      <c r="J266" s="9">
        <v>13334150</v>
      </c>
      <c r="K266" s="8">
        <v>1300440</v>
      </c>
    </row>
    <row r="267" spans="1:11" x14ac:dyDescent="0.35">
      <c r="A267">
        <v>266</v>
      </c>
      <c r="B267" t="s">
        <v>125</v>
      </c>
      <c r="C267">
        <v>2022</v>
      </c>
      <c r="D267" t="s">
        <v>8</v>
      </c>
      <c r="E267" s="2">
        <v>101</v>
      </c>
      <c r="F267" s="2">
        <v>32</v>
      </c>
      <c r="G267" s="2">
        <v>7.58</v>
      </c>
      <c r="H267" s="2">
        <v>0.89</v>
      </c>
      <c r="I267" s="9">
        <f t="shared" si="4"/>
        <v>-8090180</v>
      </c>
      <c r="J267" s="9">
        <v>12362140</v>
      </c>
      <c r="K267" s="8">
        <v>20452320</v>
      </c>
    </row>
    <row r="268" spans="1:11" x14ac:dyDescent="0.35">
      <c r="A268">
        <v>267</v>
      </c>
      <c r="B268" t="s">
        <v>177</v>
      </c>
      <c r="C268">
        <v>2022</v>
      </c>
      <c r="D268" t="s">
        <v>166</v>
      </c>
      <c r="E268" s="2">
        <v>0</v>
      </c>
      <c r="F268" s="2">
        <v>1</v>
      </c>
      <c r="G268" s="2">
        <v>0</v>
      </c>
      <c r="H268" s="2">
        <v>0.03</v>
      </c>
      <c r="I268" s="9">
        <f t="shared" si="4"/>
        <v>-464320</v>
      </c>
      <c r="J268" s="9">
        <v>0</v>
      </c>
      <c r="K268" s="8">
        <v>464320</v>
      </c>
    </row>
    <row r="269" spans="1:11" x14ac:dyDescent="0.35">
      <c r="A269">
        <v>268</v>
      </c>
      <c r="B269" t="s">
        <v>126</v>
      </c>
      <c r="C269">
        <v>2022</v>
      </c>
      <c r="D269" t="s">
        <v>8</v>
      </c>
      <c r="E269" s="2">
        <v>50</v>
      </c>
      <c r="F269" s="2">
        <v>41</v>
      </c>
      <c r="G269" s="2">
        <v>3.75</v>
      </c>
      <c r="H269" s="2">
        <v>1.1399999999999999</v>
      </c>
      <c r="I269" s="9">
        <f t="shared" si="4"/>
        <v>-14687430</v>
      </c>
      <c r="J269" s="9">
        <v>36178800</v>
      </c>
      <c r="K269" s="8">
        <v>50866230</v>
      </c>
    </row>
    <row r="270" spans="1:11" x14ac:dyDescent="0.35">
      <c r="A270">
        <v>269</v>
      </c>
      <c r="B270" t="s">
        <v>127</v>
      </c>
      <c r="C270">
        <v>2022</v>
      </c>
      <c r="D270" t="s">
        <v>166</v>
      </c>
      <c r="E270" s="2">
        <v>0</v>
      </c>
      <c r="F270" s="2">
        <v>1</v>
      </c>
      <c r="G270" s="2">
        <v>0</v>
      </c>
      <c r="H270" s="2">
        <v>0.03</v>
      </c>
      <c r="I270" s="9">
        <f t="shared" si="4"/>
        <v>-80</v>
      </c>
      <c r="J270" s="9">
        <v>0</v>
      </c>
      <c r="K270" s="8">
        <v>80</v>
      </c>
    </row>
    <row r="271" spans="1:11" x14ac:dyDescent="0.35">
      <c r="A271">
        <v>270</v>
      </c>
      <c r="B271" t="s">
        <v>128</v>
      </c>
      <c r="C271">
        <v>2022</v>
      </c>
      <c r="D271" t="s">
        <v>8</v>
      </c>
      <c r="E271" s="2">
        <v>78</v>
      </c>
      <c r="F271" s="2">
        <v>13</v>
      </c>
      <c r="G271" s="2">
        <v>5.86</v>
      </c>
      <c r="H271" s="2">
        <v>0.36</v>
      </c>
      <c r="I271" s="9">
        <f t="shared" si="4"/>
        <v>1887790</v>
      </c>
      <c r="J271" s="9">
        <v>1918490</v>
      </c>
      <c r="K271" s="8">
        <v>30700</v>
      </c>
    </row>
    <row r="272" spans="1:11" x14ac:dyDescent="0.35">
      <c r="A272">
        <v>271</v>
      </c>
      <c r="B272" t="s">
        <v>129</v>
      </c>
      <c r="C272">
        <v>2022</v>
      </c>
      <c r="D272" t="s">
        <v>8</v>
      </c>
      <c r="E272" s="2">
        <v>312</v>
      </c>
      <c r="F272" s="2">
        <v>554</v>
      </c>
      <c r="G272" s="2">
        <v>23.42</v>
      </c>
      <c r="H272" s="2">
        <v>15.47</v>
      </c>
      <c r="I272" s="9">
        <f t="shared" si="4"/>
        <v>-4121901870</v>
      </c>
      <c r="J272" s="9">
        <v>200179160</v>
      </c>
      <c r="K272" s="8">
        <v>4322081030</v>
      </c>
    </row>
    <row r="273" spans="1:11" x14ac:dyDescent="0.35">
      <c r="A273">
        <v>272</v>
      </c>
      <c r="B273" t="s">
        <v>131</v>
      </c>
      <c r="C273">
        <v>2022</v>
      </c>
      <c r="D273" t="s">
        <v>166</v>
      </c>
      <c r="E273" s="2">
        <v>0</v>
      </c>
      <c r="F273" s="2">
        <v>4</v>
      </c>
      <c r="G273" s="2">
        <v>0</v>
      </c>
      <c r="H273" s="2">
        <v>0.11</v>
      </c>
      <c r="I273" s="9">
        <f t="shared" si="4"/>
        <v>-5840</v>
      </c>
      <c r="J273" s="9">
        <v>0</v>
      </c>
      <c r="K273" s="8">
        <v>5840</v>
      </c>
    </row>
    <row r="274" spans="1:11" x14ac:dyDescent="0.35">
      <c r="A274">
        <v>273</v>
      </c>
      <c r="B274" t="s">
        <v>132</v>
      </c>
      <c r="C274">
        <v>2022</v>
      </c>
      <c r="D274" t="s">
        <v>166</v>
      </c>
      <c r="E274" s="2">
        <v>0</v>
      </c>
      <c r="F274" s="2">
        <v>2</v>
      </c>
      <c r="G274" s="2">
        <v>0</v>
      </c>
      <c r="H274" s="2">
        <v>0.06</v>
      </c>
      <c r="I274" s="9">
        <f t="shared" si="4"/>
        <v>-880</v>
      </c>
      <c r="J274" s="9">
        <v>0</v>
      </c>
      <c r="K274" s="8">
        <v>880</v>
      </c>
    </row>
    <row r="275" spans="1:11" x14ac:dyDescent="0.35">
      <c r="A275">
        <v>274</v>
      </c>
      <c r="B275" t="s">
        <v>133</v>
      </c>
      <c r="C275">
        <v>2022</v>
      </c>
      <c r="D275" t="s">
        <v>166</v>
      </c>
      <c r="E275" s="2">
        <v>0</v>
      </c>
      <c r="F275" s="2">
        <v>1</v>
      </c>
      <c r="G275" s="2">
        <v>0</v>
      </c>
      <c r="H275" s="2">
        <v>0.03</v>
      </c>
      <c r="I275" s="9">
        <f t="shared" si="4"/>
        <v>-25820</v>
      </c>
      <c r="J275" s="9">
        <v>0</v>
      </c>
      <c r="K275" s="8">
        <v>25820</v>
      </c>
    </row>
    <row r="276" spans="1:11" x14ac:dyDescent="0.35">
      <c r="A276">
        <v>275</v>
      </c>
      <c r="B276" t="s">
        <v>134</v>
      </c>
      <c r="C276">
        <v>2022</v>
      </c>
      <c r="D276" t="s">
        <v>166</v>
      </c>
      <c r="E276" s="2">
        <v>0</v>
      </c>
      <c r="F276" s="2">
        <v>1</v>
      </c>
      <c r="G276" s="2">
        <v>0</v>
      </c>
      <c r="H276" s="2">
        <v>0.03</v>
      </c>
      <c r="I276" s="9">
        <f t="shared" si="4"/>
        <v>-260</v>
      </c>
      <c r="J276" s="9">
        <v>0</v>
      </c>
      <c r="K276" s="8">
        <v>260</v>
      </c>
    </row>
    <row r="277" spans="1:11" x14ac:dyDescent="0.35">
      <c r="A277">
        <v>276</v>
      </c>
      <c r="B277" t="s">
        <v>136</v>
      </c>
      <c r="C277">
        <v>2022</v>
      </c>
      <c r="D277" t="s">
        <v>8</v>
      </c>
      <c r="E277" s="2">
        <v>1</v>
      </c>
      <c r="F277" s="2">
        <v>1</v>
      </c>
      <c r="G277" s="2">
        <v>0.08</v>
      </c>
      <c r="H277" s="2">
        <v>0.03</v>
      </c>
      <c r="I277" s="9">
        <f t="shared" si="4"/>
        <v>292610</v>
      </c>
      <c r="J277" s="9">
        <v>300000</v>
      </c>
      <c r="K277" s="8">
        <v>7390</v>
      </c>
    </row>
    <row r="278" spans="1:11" x14ac:dyDescent="0.35">
      <c r="A278">
        <v>277</v>
      </c>
      <c r="B278" t="s">
        <v>137</v>
      </c>
      <c r="C278">
        <v>2022</v>
      </c>
      <c r="D278" t="s">
        <v>8</v>
      </c>
      <c r="E278" s="2">
        <v>9</v>
      </c>
      <c r="F278" s="2">
        <v>52</v>
      </c>
      <c r="G278" s="2">
        <v>0.68</v>
      </c>
      <c r="H278" s="2">
        <v>1.45</v>
      </c>
      <c r="I278" s="9">
        <f t="shared" si="4"/>
        <v>1582930</v>
      </c>
      <c r="J278" s="9">
        <v>3237320</v>
      </c>
      <c r="K278" s="8">
        <v>1654390</v>
      </c>
    </row>
    <row r="279" spans="1:11" x14ac:dyDescent="0.35">
      <c r="A279">
        <v>278</v>
      </c>
      <c r="B279" t="s">
        <v>138</v>
      </c>
      <c r="C279">
        <v>2022</v>
      </c>
      <c r="D279" t="s">
        <v>8</v>
      </c>
      <c r="E279" s="2">
        <v>94</v>
      </c>
      <c r="F279" s="2">
        <v>32</v>
      </c>
      <c r="G279" s="2">
        <v>7.06</v>
      </c>
      <c r="H279" s="2">
        <v>0.89</v>
      </c>
      <c r="I279" s="9">
        <f t="shared" si="4"/>
        <v>83189220</v>
      </c>
      <c r="J279" s="9">
        <v>83328710</v>
      </c>
      <c r="K279" s="8">
        <v>139490</v>
      </c>
    </row>
    <row r="280" spans="1:11" x14ac:dyDescent="0.35">
      <c r="A280">
        <v>279</v>
      </c>
      <c r="B280" t="s">
        <v>139</v>
      </c>
      <c r="C280">
        <v>2022</v>
      </c>
      <c r="D280" t="s">
        <v>8</v>
      </c>
      <c r="E280" s="2">
        <v>154</v>
      </c>
      <c r="F280" s="2">
        <v>151</v>
      </c>
      <c r="G280" s="2">
        <v>11.56</v>
      </c>
      <c r="H280" s="2">
        <v>4.22</v>
      </c>
      <c r="I280" s="9">
        <f t="shared" si="4"/>
        <v>92588550</v>
      </c>
      <c r="J280" s="9">
        <v>143820190</v>
      </c>
      <c r="K280" s="8">
        <v>51231640</v>
      </c>
    </row>
    <row r="281" spans="1:11" x14ac:dyDescent="0.35">
      <c r="A281">
        <v>280</v>
      </c>
      <c r="B281" t="s">
        <v>140</v>
      </c>
      <c r="C281">
        <v>2022</v>
      </c>
      <c r="D281" t="s">
        <v>8</v>
      </c>
      <c r="E281" s="2">
        <v>1</v>
      </c>
      <c r="F281" s="2">
        <v>60</v>
      </c>
      <c r="G281" s="2">
        <v>0.08</v>
      </c>
      <c r="H281" s="2">
        <v>1.68</v>
      </c>
      <c r="I281" s="9">
        <f t="shared" si="4"/>
        <v>-2377090</v>
      </c>
      <c r="J281" s="9">
        <v>10780</v>
      </c>
      <c r="K281" s="8">
        <v>2387870</v>
      </c>
    </row>
    <row r="282" spans="1:11" x14ac:dyDescent="0.35">
      <c r="A282">
        <v>281</v>
      </c>
      <c r="B282" t="s">
        <v>145</v>
      </c>
      <c r="C282">
        <v>2022</v>
      </c>
      <c r="D282" t="s">
        <v>8</v>
      </c>
      <c r="E282" s="2">
        <v>519</v>
      </c>
      <c r="F282" s="2">
        <v>2496</v>
      </c>
      <c r="G282" s="2">
        <v>38.96</v>
      </c>
      <c r="H282" s="2">
        <v>69.680000000000007</v>
      </c>
      <c r="I282" s="9">
        <f t="shared" si="4"/>
        <v>1693697680</v>
      </c>
      <c r="J282" s="9">
        <v>3847856230</v>
      </c>
      <c r="K282" s="8">
        <v>2154158550</v>
      </c>
    </row>
    <row r="283" spans="1:11" x14ac:dyDescent="0.35">
      <c r="A283">
        <v>282</v>
      </c>
      <c r="B283" t="s">
        <v>146</v>
      </c>
      <c r="C283">
        <v>2022</v>
      </c>
      <c r="D283" t="s">
        <v>166</v>
      </c>
      <c r="E283" s="2">
        <v>0</v>
      </c>
      <c r="F283" s="2">
        <v>1</v>
      </c>
      <c r="G283" s="2">
        <v>0</v>
      </c>
      <c r="H283" s="2">
        <v>0.03</v>
      </c>
      <c r="I283" s="9">
        <f t="shared" si="4"/>
        <v>-126280</v>
      </c>
      <c r="J283" s="9">
        <v>0</v>
      </c>
      <c r="K283" s="8">
        <v>126280</v>
      </c>
    </row>
    <row r="284" spans="1:11" x14ac:dyDescent="0.35">
      <c r="A284">
        <v>283</v>
      </c>
      <c r="B284" t="s">
        <v>147</v>
      </c>
      <c r="C284">
        <v>2022</v>
      </c>
      <c r="D284" t="s">
        <v>8</v>
      </c>
      <c r="E284" s="2">
        <v>1</v>
      </c>
      <c r="F284" s="2">
        <v>1</v>
      </c>
      <c r="G284" s="2">
        <v>0.08</v>
      </c>
      <c r="H284" s="2">
        <v>0.03</v>
      </c>
      <c r="I284" s="9">
        <f t="shared" si="4"/>
        <v>102240</v>
      </c>
      <c r="J284" s="9">
        <v>112120</v>
      </c>
      <c r="K284" s="8">
        <v>9880</v>
      </c>
    </row>
    <row r="285" spans="1:11" x14ac:dyDescent="0.35">
      <c r="A285">
        <v>284</v>
      </c>
      <c r="B285" t="s">
        <v>148</v>
      </c>
      <c r="C285">
        <v>2022</v>
      </c>
      <c r="D285" t="s">
        <v>166</v>
      </c>
      <c r="E285" s="2">
        <v>0</v>
      </c>
      <c r="F285" s="2">
        <v>2</v>
      </c>
      <c r="G285" s="2">
        <v>0</v>
      </c>
      <c r="H285" s="2">
        <v>0.06</v>
      </c>
      <c r="I285" s="9">
        <f t="shared" si="4"/>
        <v>-218020</v>
      </c>
      <c r="J285" s="9">
        <v>0</v>
      </c>
      <c r="K285" s="8">
        <v>218020</v>
      </c>
    </row>
    <row r="286" spans="1:11" x14ac:dyDescent="0.35">
      <c r="A286">
        <v>285</v>
      </c>
      <c r="B286" t="s">
        <v>149</v>
      </c>
      <c r="C286">
        <v>2022</v>
      </c>
      <c r="D286" t="s">
        <v>8</v>
      </c>
      <c r="E286" s="2">
        <v>12</v>
      </c>
      <c r="F286" s="2">
        <v>2</v>
      </c>
      <c r="G286" s="2">
        <v>0.9</v>
      </c>
      <c r="H286" s="2">
        <v>0.06</v>
      </c>
      <c r="I286" s="9">
        <f t="shared" si="4"/>
        <v>1242570</v>
      </c>
      <c r="J286" s="9">
        <v>1243200</v>
      </c>
      <c r="K286" s="8">
        <v>630</v>
      </c>
    </row>
    <row r="287" spans="1:11" x14ac:dyDescent="0.35">
      <c r="A287">
        <v>286</v>
      </c>
      <c r="B287" t="s">
        <v>151</v>
      </c>
      <c r="C287">
        <v>2022</v>
      </c>
      <c r="D287" t="s">
        <v>8</v>
      </c>
      <c r="E287" s="2">
        <v>4</v>
      </c>
      <c r="F287" s="2">
        <v>50</v>
      </c>
      <c r="G287" s="2">
        <v>0.3</v>
      </c>
      <c r="H287" s="2">
        <v>1.4</v>
      </c>
      <c r="I287" s="9">
        <f t="shared" si="4"/>
        <v>-21090</v>
      </c>
      <c r="J287" s="9">
        <v>36860</v>
      </c>
      <c r="K287" s="8">
        <v>57950</v>
      </c>
    </row>
    <row r="288" spans="1:11" x14ac:dyDescent="0.35">
      <c r="A288">
        <v>287</v>
      </c>
      <c r="B288" t="s">
        <v>152</v>
      </c>
      <c r="C288">
        <v>2022</v>
      </c>
      <c r="D288" t="s">
        <v>8</v>
      </c>
      <c r="E288" s="2">
        <v>114</v>
      </c>
      <c r="F288" s="2">
        <v>241</v>
      </c>
      <c r="G288" s="2">
        <v>8.56</v>
      </c>
      <c r="H288" s="2">
        <v>6.73</v>
      </c>
      <c r="I288" s="9">
        <f t="shared" si="4"/>
        <v>-18313390</v>
      </c>
      <c r="J288" s="9">
        <v>42373130</v>
      </c>
      <c r="K288" s="8">
        <v>60686520</v>
      </c>
    </row>
    <row r="289" spans="1:11" x14ac:dyDescent="0.35">
      <c r="A289">
        <v>288</v>
      </c>
      <c r="B289" t="s">
        <v>154</v>
      </c>
      <c r="C289">
        <v>2022</v>
      </c>
      <c r="D289" t="s">
        <v>166</v>
      </c>
      <c r="E289" s="2">
        <v>0</v>
      </c>
      <c r="F289" s="2">
        <v>2</v>
      </c>
      <c r="G289" s="2">
        <v>0</v>
      </c>
      <c r="H289" s="2">
        <v>0.06</v>
      </c>
      <c r="I289" s="9">
        <f t="shared" si="4"/>
        <v>-40</v>
      </c>
      <c r="J289" s="9">
        <v>0</v>
      </c>
      <c r="K289" s="8">
        <v>40</v>
      </c>
    </row>
    <row r="290" spans="1:11" x14ac:dyDescent="0.35">
      <c r="A290">
        <v>289</v>
      </c>
      <c r="B290" t="s">
        <v>155</v>
      </c>
      <c r="C290">
        <v>2022</v>
      </c>
      <c r="D290" t="s">
        <v>8</v>
      </c>
      <c r="E290" s="2">
        <v>12</v>
      </c>
      <c r="F290" s="2">
        <v>15</v>
      </c>
      <c r="G290" s="2">
        <v>0.9</v>
      </c>
      <c r="H290" s="2">
        <v>0.42</v>
      </c>
      <c r="I290" s="9">
        <f t="shared" si="4"/>
        <v>-1294420</v>
      </c>
      <c r="J290" s="9">
        <v>2401420</v>
      </c>
      <c r="K290" s="8">
        <v>3695840</v>
      </c>
    </row>
    <row r="291" spans="1:11" x14ac:dyDescent="0.35">
      <c r="A291">
        <v>290</v>
      </c>
      <c r="B291" t="s">
        <v>156</v>
      </c>
      <c r="C291">
        <v>2022</v>
      </c>
      <c r="D291" t="s">
        <v>8</v>
      </c>
      <c r="E291" s="2">
        <v>92</v>
      </c>
      <c r="F291" s="2">
        <v>1</v>
      </c>
      <c r="G291" s="2">
        <v>6.91</v>
      </c>
      <c r="H291" s="2">
        <v>0.03</v>
      </c>
      <c r="I291" s="9">
        <f t="shared" si="4"/>
        <v>2916260</v>
      </c>
      <c r="J291" s="9">
        <v>3016260</v>
      </c>
      <c r="K291" s="8">
        <v>100000</v>
      </c>
    </row>
    <row r="292" spans="1:11" x14ac:dyDescent="0.35">
      <c r="A292">
        <v>291</v>
      </c>
      <c r="B292" t="s">
        <v>157</v>
      </c>
      <c r="C292">
        <v>2022</v>
      </c>
      <c r="D292" t="s">
        <v>8</v>
      </c>
      <c r="E292" s="2">
        <v>425</v>
      </c>
      <c r="F292" s="2">
        <v>781</v>
      </c>
      <c r="G292" s="2">
        <v>31.91</v>
      </c>
      <c r="H292" s="2">
        <v>21.8</v>
      </c>
      <c r="I292" s="9">
        <f t="shared" si="4"/>
        <v>590409020</v>
      </c>
      <c r="J292" s="9">
        <v>761163080</v>
      </c>
      <c r="K292" s="8">
        <v>170754060</v>
      </c>
    </row>
    <row r="293" spans="1:11" x14ac:dyDescent="0.35">
      <c r="A293">
        <v>292</v>
      </c>
      <c r="B293" t="s">
        <v>158</v>
      </c>
      <c r="C293">
        <v>2022</v>
      </c>
      <c r="D293" t="s">
        <v>166</v>
      </c>
      <c r="E293" s="2">
        <v>0</v>
      </c>
      <c r="F293" s="2">
        <v>7</v>
      </c>
      <c r="G293" s="2">
        <v>0</v>
      </c>
      <c r="H293" s="2">
        <v>0.2</v>
      </c>
      <c r="I293" s="9">
        <f t="shared" si="4"/>
        <v>-2200310</v>
      </c>
      <c r="J293" s="9">
        <v>0</v>
      </c>
      <c r="K293" s="8">
        <v>2200310</v>
      </c>
    </row>
    <row r="294" spans="1:11" x14ac:dyDescent="0.35">
      <c r="A294">
        <v>293</v>
      </c>
      <c r="B294" t="s">
        <v>159</v>
      </c>
      <c r="C294">
        <v>2022</v>
      </c>
      <c r="D294" t="s">
        <v>8</v>
      </c>
      <c r="E294" s="2">
        <v>7</v>
      </c>
      <c r="F294" s="2">
        <v>5</v>
      </c>
      <c r="G294" s="2">
        <v>0.53</v>
      </c>
      <c r="H294" s="2">
        <v>0.14000000000000001</v>
      </c>
      <c r="I294" s="9">
        <f t="shared" si="4"/>
        <v>513760</v>
      </c>
      <c r="J294" s="9">
        <v>568150</v>
      </c>
      <c r="K294" s="8">
        <v>54390</v>
      </c>
    </row>
    <row r="295" spans="1:11" x14ac:dyDescent="0.35">
      <c r="A295">
        <v>294</v>
      </c>
      <c r="B295" t="s">
        <v>160</v>
      </c>
      <c r="C295">
        <v>2022</v>
      </c>
      <c r="D295" t="s">
        <v>8</v>
      </c>
      <c r="E295" s="2">
        <v>223</v>
      </c>
      <c r="F295" s="2">
        <v>941</v>
      </c>
      <c r="G295" s="2">
        <v>16.739999999999998</v>
      </c>
      <c r="H295" s="2">
        <v>26.27</v>
      </c>
      <c r="I295" s="9">
        <f t="shared" si="4"/>
        <v>-153847570</v>
      </c>
      <c r="J295" s="9">
        <v>240947510</v>
      </c>
      <c r="K295" s="8">
        <v>394795080</v>
      </c>
    </row>
    <row r="296" spans="1:11" x14ac:dyDescent="0.35">
      <c r="A296">
        <v>295</v>
      </c>
      <c r="B296" t="s">
        <v>161</v>
      </c>
      <c r="C296">
        <v>2022</v>
      </c>
      <c r="D296" t="s">
        <v>8</v>
      </c>
      <c r="E296" s="2">
        <v>4</v>
      </c>
      <c r="F296" s="2">
        <v>2</v>
      </c>
      <c r="G296" s="2">
        <v>0.3</v>
      </c>
      <c r="H296" s="2">
        <v>0.06</v>
      </c>
      <c r="I296" s="9">
        <f t="shared" si="4"/>
        <v>117610</v>
      </c>
      <c r="J296" s="9">
        <v>291640</v>
      </c>
      <c r="K296" s="8">
        <v>174030</v>
      </c>
    </row>
    <row r="297" spans="1:11" x14ac:dyDescent="0.35">
      <c r="A297">
        <v>296</v>
      </c>
      <c r="B297" t="s">
        <v>162</v>
      </c>
      <c r="C297">
        <v>2022</v>
      </c>
      <c r="D297" t="s">
        <v>8</v>
      </c>
      <c r="E297" s="2">
        <v>112</v>
      </c>
      <c r="F297" s="2">
        <v>41</v>
      </c>
      <c r="G297" s="2">
        <v>8.41</v>
      </c>
      <c r="H297" s="2">
        <v>1.1399999999999999</v>
      </c>
      <c r="I297" s="9">
        <f t="shared" si="4"/>
        <v>12791510</v>
      </c>
      <c r="J297" s="9">
        <v>13914520</v>
      </c>
      <c r="K297" s="8">
        <v>1123010</v>
      </c>
    </row>
    <row r="298" spans="1:11" x14ac:dyDescent="0.35">
      <c r="A298">
        <v>297</v>
      </c>
      <c r="B298" t="s">
        <v>164</v>
      </c>
      <c r="C298">
        <v>2022</v>
      </c>
      <c r="D298" t="s">
        <v>166</v>
      </c>
      <c r="E298" s="2">
        <v>0</v>
      </c>
      <c r="F298" s="2">
        <v>2</v>
      </c>
      <c r="G298" s="2">
        <v>0</v>
      </c>
      <c r="H298" s="2">
        <v>0.06</v>
      </c>
      <c r="I298" s="9">
        <f t="shared" si="4"/>
        <v>-848550</v>
      </c>
      <c r="J298" s="9">
        <v>0</v>
      </c>
      <c r="K298" s="8">
        <v>848550</v>
      </c>
    </row>
    <row r="299" spans="1:11" x14ac:dyDescent="0.35">
      <c r="A299">
        <v>298</v>
      </c>
      <c r="B299" t="s">
        <v>165</v>
      </c>
      <c r="C299">
        <v>2022</v>
      </c>
      <c r="D299" t="s">
        <v>166</v>
      </c>
      <c r="E299" s="2">
        <v>0</v>
      </c>
      <c r="F299" s="2">
        <v>1</v>
      </c>
      <c r="G299" s="2">
        <v>0</v>
      </c>
      <c r="H299" s="2">
        <v>0.03</v>
      </c>
      <c r="I299" s="9">
        <f t="shared" si="4"/>
        <v>-20</v>
      </c>
      <c r="J299" s="9">
        <v>0</v>
      </c>
      <c r="K299" s="8">
        <v>20</v>
      </c>
    </row>
    <row r="300" spans="1:11" x14ac:dyDescent="0.35">
      <c r="I300" s="1"/>
      <c r="J300" s="4"/>
      <c r="K300" s="6"/>
    </row>
    <row r="301" spans="1:11" x14ac:dyDescent="0.35">
      <c r="I301" s="5"/>
      <c r="J301" s="3"/>
    </row>
    <row r="302" spans="1:11" x14ac:dyDescent="0.35">
      <c r="I302" s="5"/>
      <c r="J302" s="3"/>
    </row>
  </sheetData>
  <autoFilter ref="A1:K299" xr:uid="{00000000-0001-0000-0100-000000000000}"/>
  <conditionalFormatting sqref="J2:J159">
    <cfRule type="top10" dxfId="9" priority="4" rank="6"/>
    <cfRule type="top10" dxfId="8" priority="8" rank="5"/>
  </conditionalFormatting>
  <conditionalFormatting sqref="J162:J297">
    <cfRule type="top10" dxfId="7" priority="3" rank="6"/>
    <cfRule type="top10" dxfId="6" priority="7" rank="5"/>
  </conditionalFormatting>
  <conditionalFormatting sqref="K2:K159">
    <cfRule type="top10" dxfId="5" priority="2" rank="6"/>
    <cfRule type="top10" dxfId="4" priority="6" rank="5"/>
  </conditionalFormatting>
  <conditionalFormatting sqref="K160:K299">
    <cfRule type="top10" dxfId="3" priority="1" rank="6"/>
    <cfRule type="top10" dxfId="2" priority="5" rank="5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Partners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Thu Thu San</cp:lastModifiedBy>
  <dcterms:modified xsi:type="dcterms:W3CDTF">2025-10-20T16:24:04Z</dcterms:modified>
</cp:coreProperties>
</file>